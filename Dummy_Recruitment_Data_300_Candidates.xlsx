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0c249928619d1b36/Pictures/Documents/Project/Data Analysis/Excel/"/>
    </mc:Choice>
  </mc:AlternateContent>
  <xr:revisionPtr revIDLastSave="465" documentId="13_ncr:1_{566A4240-785C-4C2B-883E-6D288D39DEF1}" xr6:coauthVersionLast="47" xr6:coauthVersionMax="47" xr10:uidLastSave="{0FEEE1F9-B860-43F7-9D06-B3343FC1E346}"/>
  <bookViews>
    <workbookView xWindow="-110" yWindow="-110" windowWidth="19420" windowHeight="10300" activeTab="1" xr2:uid="{00000000-000D-0000-FFFF-FFFF00000000}"/>
  </bookViews>
  <sheets>
    <sheet name="Recruitment Data" sheetId="1" r:id="rId1"/>
    <sheet name="Dashboard - Drillthrough" sheetId="6" r:id="rId2"/>
    <sheet name="Validation" sheetId="4" r:id="rId3"/>
  </sheets>
  <definedNames>
    <definedName name="_xlchart.v2.0" hidden="1">Validation!$A$2:$A$6</definedName>
    <definedName name="_xlchart.v2.1" hidden="1">Validation!$C$2:$C$6</definedName>
    <definedName name="Acceptance_dept">Validation!$C$42</definedName>
    <definedName name="Dept">'Dashboard - Drillthrough'!$K$5</definedName>
    <definedName name="Expected_salary">Validation!$E$35</definedName>
    <definedName name="Hiring_rate">Validation!$D$35</definedName>
    <definedName name="Offered_salary">Validation!$F$35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4" l="1" a="1"/>
  <c r="E35" i="4" a="1"/>
  <c r="H10" i="4" a="1"/>
  <c r="C42" i="4"/>
  <c r="B42" i="4"/>
  <c r="H28" i="4" a="1"/>
  <c r="C6" i="4"/>
  <c r="C5" i="4"/>
  <c r="C4" i="4"/>
  <c r="C3" i="4"/>
  <c r="C2" i="4"/>
  <c r="B43" i="4"/>
  <c r="B44" i="4"/>
  <c r="B45" i="4"/>
  <c r="B2" i="4"/>
  <c r="A38" i="4" a="1"/>
  <c r="A28" i="4" a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A19" i="4" a="1"/>
  <c r="A10" i="4" a="1"/>
  <c r="B6" i="4"/>
  <c r="B5" i="4"/>
  <c r="B4" i="4"/>
  <c r="B3" i="4"/>
  <c r="I11" i="4" l="1"/>
  <c r="I12" i="4"/>
  <c r="I13" i="4"/>
  <c r="I14" i="4"/>
  <c r="I15" i="4"/>
  <c r="I10" i="4"/>
  <c r="K10" i="4" s="1" a="1"/>
  <c r="K30" i="4"/>
  <c r="J29" i="4"/>
  <c r="J31" i="4"/>
  <c r="J32" i="4"/>
  <c r="J33" i="4"/>
  <c r="J34" i="4"/>
  <c r="J28" i="4"/>
  <c r="C39" i="4"/>
  <c r="C38" i="4"/>
  <c r="I23" i="4"/>
  <c r="H23" i="4"/>
  <c r="I22" i="4"/>
  <c r="H22" i="4"/>
  <c r="I21" i="4"/>
  <c r="H21" i="4"/>
  <c r="I20" i="4"/>
  <c r="H20" i="4"/>
  <c r="G20" i="4"/>
  <c r="I19" i="4"/>
  <c r="H19" i="4"/>
  <c r="G19" i="4"/>
  <c r="G21" i="4"/>
  <c r="G23" i="4"/>
  <c r="G24" i="4"/>
  <c r="I24" i="4"/>
  <c r="H24" i="4"/>
  <c r="G22" i="4"/>
  <c r="C19" i="4"/>
  <c r="D20" i="4"/>
  <c r="D21" i="4"/>
  <c r="D22" i="4"/>
  <c r="D23" i="4"/>
  <c r="D24" i="4"/>
  <c r="D19" i="4"/>
  <c r="C12" i="4"/>
  <c r="C13" i="4"/>
  <c r="C14" i="4"/>
  <c r="C15" i="4"/>
  <c r="C10" i="4"/>
  <c r="C11" i="4"/>
  <c r="I34" i="4"/>
  <c r="K34" i="4" s="1"/>
  <c r="I33" i="4"/>
  <c r="K33" i="4" s="1"/>
  <c r="I32" i="4"/>
  <c r="K32" i="4" s="1"/>
  <c r="I31" i="4"/>
  <c r="K31" i="4" s="1"/>
  <c r="I30" i="4"/>
  <c r="J30" i="4" s="1"/>
  <c r="I29" i="4"/>
  <c r="K29" i="4" s="1"/>
  <c r="I28" i="4"/>
  <c r="F29" i="4"/>
  <c r="F32" i="4"/>
  <c r="F33" i="4"/>
  <c r="F34" i="4"/>
  <c r="F28" i="4"/>
  <c r="E28" i="4"/>
  <c r="E29" i="4"/>
  <c r="E30" i="4"/>
  <c r="E31" i="4"/>
  <c r="E32" i="4"/>
  <c r="E33" i="4"/>
  <c r="E34" i="4"/>
  <c r="C29" i="4"/>
  <c r="C30" i="4"/>
  <c r="C31" i="4"/>
  <c r="C32" i="4"/>
  <c r="C33" i="4"/>
  <c r="C34" i="4"/>
  <c r="C28" i="4"/>
  <c r="F31" i="4"/>
  <c r="F30" i="4"/>
  <c r="B39" i="4"/>
  <c r="B38" i="4"/>
  <c r="B29" i="4"/>
  <c r="B30" i="4"/>
  <c r="B31" i="4"/>
  <c r="B32" i="4"/>
  <c r="B33" i="4"/>
  <c r="B34" i="4"/>
  <c r="B28" i="4"/>
  <c r="D28" i="4" s="1"/>
  <c r="C20" i="4"/>
  <c r="C21" i="4"/>
  <c r="C22" i="4"/>
  <c r="C23" i="4"/>
  <c r="C24" i="4"/>
  <c r="B20" i="4"/>
  <c r="B21" i="4"/>
  <c r="B22" i="4"/>
  <c r="B23" i="4"/>
  <c r="B24" i="4"/>
  <c r="B19" i="4"/>
  <c r="B11" i="4"/>
  <c r="B12" i="4"/>
  <c r="B13" i="4"/>
  <c r="B14" i="4"/>
  <c r="B15" i="4"/>
  <c r="B10" i="4"/>
  <c r="D10" i="4" s="1" a="1"/>
  <c r="K28" i="4" l="1"/>
  <c r="M28" i="4" s="1" a="1"/>
  <c r="D29" i="4"/>
  <c r="D30" i="4"/>
  <c r="D35" i="4" s="1" a="1"/>
  <c r="D31" i="4"/>
  <c r="D32" i="4"/>
  <c r="D33" i="4"/>
  <c r="D34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<sst xmlns="http://schemas.openxmlformats.org/spreadsheetml/2006/main" count="3961" uniqueCount="516">
  <si>
    <t>Candidate ID</t>
  </si>
  <si>
    <t>Position</t>
  </si>
  <si>
    <t>Department</t>
  </si>
  <si>
    <t>Source</t>
  </si>
  <si>
    <t>Applied Date</t>
  </si>
  <si>
    <t>Screening</t>
  </si>
  <si>
    <t>Interview 1</t>
  </si>
  <si>
    <t>Interview 2</t>
  </si>
  <si>
    <t>Offer</t>
  </si>
  <si>
    <t>Hired</t>
  </si>
  <si>
    <t>Days to Hire</t>
  </si>
  <si>
    <t>Recruiter</t>
  </si>
  <si>
    <t>Gender</t>
  </si>
  <si>
    <t>Age</t>
  </si>
  <si>
    <t>Experience (Years)</t>
  </si>
  <si>
    <t>Expected Salary</t>
  </si>
  <si>
    <t>Offered Salary</t>
  </si>
  <si>
    <t>Status</t>
  </si>
  <si>
    <t>C001</t>
  </si>
  <si>
    <t>Finance Analyst</t>
  </si>
  <si>
    <t>Finance</t>
  </si>
  <si>
    <t>Glints</t>
  </si>
  <si>
    <t>28-Jan-2026</t>
  </si>
  <si>
    <t>Fail</t>
  </si>
  <si>
    <t>-</t>
  </si>
  <si>
    <t>Michael</t>
  </si>
  <si>
    <t>Female</t>
  </si>
  <si>
    <t>Rejected</t>
  </si>
  <si>
    <t>C002</t>
  </si>
  <si>
    <t>Operations Officer</t>
  </si>
  <si>
    <t>Operations</t>
  </si>
  <si>
    <t>Company Website</t>
  </si>
  <si>
    <t>19-May-2026</t>
  </si>
  <si>
    <t>Pass</t>
  </si>
  <si>
    <t>Jessica</t>
  </si>
  <si>
    <t>C003</t>
  </si>
  <si>
    <t>Software Engineer</t>
  </si>
  <si>
    <t>IT</t>
  </si>
  <si>
    <t>JobStreet</t>
  </si>
  <si>
    <t>18-May-2026</t>
  </si>
  <si>
    <t>Yes</t>
  </si>
  <si>
    <t>Sarah</t>
  </si>
  <si>
    <t>Male</t>
  </si>
  <si>
    <t>C004</t>
  </si>
  <si>
    <t>UI/UX Designer</t>
  </si>
  <si>
    <t>Product</t>
  </si>
  <si>
    <t>Career Fair</t>
  </si>
  <si>
    <t>03-Apr-2026</t>
  </si>
  <si>
    <t>C005</t>
  </si>
  <si>
    <t>Sales Executive</t>
  </si>
  <si>
    <t>Sales</t>
  </si>
  <si>
    <t>Referral</t>
  </si>
  <si>
    <t>27-Jun-2026</t>
  </si>
  <si>
    <t>C006</t>
  </si>
  <si>
    <t>05-Feb-2026</t>
  </si>
  <si>
    <t>C007</t>
  </si>
  <si>
    <t>01-Feb-2026</t>
  </si>
  <si>
    <t>Alicia</t>
  </si>
  <si>
    <t>C008</t>
  </si>
  <si>
    <t>28-Jun-2026</t>
  </si>
  <si>
    <t>C009</t>
  </si>
  <si>
    <t>07-Mar-2026</t>
  </si>
  <si>
    <t>No</t>
  </si>
  <si>
    <t>David</t>
  </si>
  <si>
    <t>Offer Declined</t>
  </si>
  <si>
    <t>C010</t>
  </si>
  <si>
    <t>HR Officer</t>
  </si>
  <si>
    <t>HR</t>
  </si>
  <si>
    <t>18-Jun-2026</t>
  </si>
  <si>
    <t>C011</t>
  </si>
  <si>
    <t>08-Feb-2026</t>
  </si>
  <si>
    <t>C012</t>
  </si>
  <si>
    <t>Data Analyst</t>
  </si>
  <si>
    <t>04-Feb-2026</t>
  </si>
  <si>
    <t>C013</t>
  </si>
  <si>
    <t>21-May-2026</t>
  </si>
  <si>
    <t>C014</t>
  </si>
  <si>
    <t>29-May-2026</t>
  </si>
  <si>
    <t>C015</t>
  </si>
  <si>
    <t>LinkedIn</t>
  </si>
  <si>
    <t>26-Mar-2026</t>
  </si>
  <si>
    <t>C016</t>
  </si>
  <si>
    <t>Marketing Executive</t>
  </si>
  <si>
    <t>Marketing</t>
  </si>
  <si>
    <t>01-May-2026</t>
  </si>
  <si>
    <t>C017</t>
  </si>
  <si>
    <t>08-Apr-2026</t>
  </si>
  <si>
    <t>C018</t>
  </si>
  <si>
    <t>11-Feb-2026</t>
  </si>
  <si>
    <t>C019</t>
  </si>
  <si>
    <t>06-Jan-2026</t>
  </si>
  <si>
    <t>C020</t>
  </si>
  <si>
    <t>13-Apr-2026</t>
  </si>
  <si>
    <t>C021</t>
  </si>
  <si>
    <t>28-May-2026</t>
  </si>
  <si>
    <t>C022</t>
  </si>
  <si>
    <t>C023</t>
  </si>
  <si>
    <t>13-Jun-2026</t>
  </si>
  <si>
    <t>C024</t>
  </si>
  <si>
    <t>24-Jan-2026</t>
  </si>
  <si>
    <t>C025</t>
  </si>
  <si>
    <t>26-Apr-2026</t>
  </si>
  <si>
    <t>C026</t>
  </si>
  <si>
    <t>24-May-2026</t>
  </si>
  <si>
    <t>C027</t>
  </si>
  <si>
    <t>13-Feb-2026</t>
  </si>
  <si>
    <t>C028</t>
  </si>
  <si>
    <t>27-May-2026</t>
  </si>
  <si>
    <t>C029</t>
  </si>
  <si>
    <t>30-Jun-2026</t>
  </si>
  <si>
    <t>C030</t>
  </si>
  <si>
    <t>15-Apr-2026</t>
  </si>
  <si>
    <t>C031</t>
  </si>
  <si>
    <t>C032</t>
  </si>
  <si>
    <t>C033</t>
  </si>
  <si>
    <t>28-Feb-2026</t>
  </si>
  <si>
    <t>C034</t>
  </si>
  <si>
    <t>24-Feb-2026</t>
  </si>
  <si>
    <t>C035</t>
  </si>
  <si>
    <t>31-Mar-2026</t>
  </si>
  <si>
    <t>C036</t>
  </si>
  <si>
    <t>16-Apr-2026</t>
  </si>
  <si>
    <t>C037</t>
  </si>
  <si>
    <t>24-Jun-2026</t>
  </si>
  <si>
    <t>C038</t>
  </si>
  <si>
    <t>02-Mar-2026</t>
  </si>
  <si>
    <t>C039</t>
  </si>
  <si>
    <t>C040</t>
  </si>
  <si>
    <t>C041</t>
  </si>
  <si>
    <t>15-May-2026</t>
  </si>
  <si>
    <t>C042</t>
  </si>
  <si>
    <t>07-Apr-2026</t>
  </si>
  <si>
    <t>C043</t>
  </si>
  <si>
    <t>01-Jun-2026</t>
  </si>
  <si>
    <t>C044</t>
  </si>
  <si>
    <t>C045</t>
  </si>
  <si>
    <t>C046</t>
  </si>
  <si>
    <t>C047</t>
  </si>
  <si>
    <t>C048</t>
  </si>
  <si>
    <t>25-May-2026</t>
  </si>
  <si>
    <t>C049</t>
  </si>
  <si>
    <t>04-Jan-2026</t>
  </si>
  <si>
    <t>C050</t>
  </si>
  <si>
    <t>C051</t>
  </si>
  <si>
    <t>30-May-2026</t>
  </si>
  <si>
    <t>C052</t>
  </si>
  <si>
    <t>04-Apr-2026</t>
  </si>
  <si>
    <t>C053</t>
  </si>
  <si>
    <t>09-Jun-2026</t>
  </si>
  <si>
    <t>C054</t>
  </si>
  <si>
    <t>C055</t>
  </si>
  <si>
    <t>12-Feb-2026</t>
  </si>
  <si>
    <t>C056</t>
  </si>
  <si>
    <t>10-Feb-2026</t>
  </si>
  <si>
    <t>C057</t>
  </si>
  <si>
    <t>C058</t>
  </si>
  <si>
    <t>C059</t>
  </si>
  <si>
    <t>29-Jun-2026</t>
  </si>
  <si>
    <t>C060</t>
  </si>
  <si>
    <t>29-Apr-2026</t>
  </si>
  <si>
    <t>C061</t>
  </si>
  <si>
    <t>18-Mar-2026</t>
  </si>
  <si>
    <t>C062</t>
  </si>
  <si>
    <t>21-Apr-2026</t>
  </si>
  <si>
    <t>C063</t>
  </si>
  <si>
    <t>23-May-2026</t>
  </si>
  <si>
    <t>C064</t>
  </si>
  <si>
    <t>C065</t>
  </si>
  <si>
    <t>08-Jan-2026</t>
  </si>
  <si>
    <t>C066</t>
  </si>
  <si>
    <t>05-Jan-2026</t>
  </si>
  <si>
    <t>C067</t>
  </si>
  <si>
    <t>C068</t>
  </si>
  <si>
    <t>08-Mar-2026</t>
  </si>
  <si>
    <t>C069</t>
  </si>
  <si>
    <t>C070</t>
  </si>
  <si>
    <t>16-Feb-2026</t>
  </si>
  <si>
    <t>C071</t>
  </si>
  <si>
    <t>11-Apr-2026</t>
  </si>
  <si>
    <t>C072</t>
  </si>
  <si>
    <t>C073</t>
  </si>
  <si>
    <t>14-Mar-2026</t>
  </si>
  <si>
    <t>C074</t>
  </si>
  <si>
    <t>07-May-2026</t>
  </si>
  <si>
    <t>C075</t>
  </si>
  <si>
    <t>11-Jan-2026</t>
  </si>
  <si>
    <t>C076</t>
  </si>
  <si>
    <t>29-Jan-2026</t>
  </si>
  <si>
    <t>C077</t>
  </si>
  <si>
    <t>10-Mar-2026</t>
  </si>
  <si>
    <t>C078</t>
  </si>
  <si>
    <t>05-Apr-2026</t>
  </si>
  <si>
    <t>C079</t>
  </si>
  <si>
    <t>25-Feb-2026</t>
  </si>
  <si>
    <t>C080</t>
  </si>
  <si>
    <t>23-Apr-2026</t>
  </si>
  <si>
    <t>C081</t>
  </si>
  <si>
    <t>05-Jun-2026</t>
  </si>
  <si>
    <t>C082</t>
  </si>
  <si>
    <t>15-Feb-2026</t>
  </si>
  <si>
    <t>C083</t>
  </si>
  <si>
    <t>22-Feb-2026</t>
  </si>
  <si>
    <t>C084</t>
  </si>
  <si>
    <t>11-May-2026</t>
  </si>
  <si>
    <t>C085</t>
  </si>
  <si>
    <t>16-Jun-2026</t>
  </si>
  <si>
    <t>C086</t>
  </si>
  <si>
    <t>C087</t>
  </si>
  <si>
    <t>01-Jan-2026</t>
  </si>
  <si>
    <t>C088</t>
  </si>
  <si>
    <t>30-Mar-2026</t>
  </si>
  <si>
    <t>C089</t>
  </si>
  <si>
    <t>02-May-2026</t>
  </si>
  <si>
    <t>C090</t>
  </si>
  <si>
    <t>C091</t>
  </si>
  <si>
    <t>28-Apr-2026</t>
  </si>
  <si>
    <t>C092</t>
  </si>
  <si>
    <t>12-Apr-2026</t>
  </si>
  <si>
    <t>C093</t>
  </si>
  <si>
    <t>26-Jan-2026</t>
  </si>
  <si>
    <t>C094</t>
  </si>
  <si>
    <t>C095</t>
  </si>
  <si>
    <t>C096</t>
  </si>
  <si>
    <t>25-Jun-2026</t>
  </si>
  <si>
    <t>C097</t>
  </si>
  <si>
    <t>16-May-2026</t>
  </si>
  <si>
    <t>C098</t>
  </si>
  <si>
    <t>06-Apr-2026</t>
  </si>
  <si>
    <t>C099</t>
  </si>
  <si>
    <t>21-Feb-2026</t>
  </si>
  <si>
    <t>C100</t>
  </si>
  <si>
    <t>05-Mar-2026</t>
  </si>
  <si>
    <t>C101</t>
  </si>
  <si>
    <t>C102</t>
  </si>
  <si>
    <t>C103</t>
  </si>
  <si>
    <t>10-May-2026</t>
  </si>
  <si>
    <t>C104</t>
  </si>
  <si>
    <t>27-Feb-2026</t>
  </si>
  <si>
    <t>C105</t>
  </si>
  <si>
    <t>10-Jan-2026</t>
  </si>
  <si>
    <t>C106</t>
  </si>
  <si>
    <t>C107</t>
  </si>
  <si>
    <t>14-Apr-2026</t>
  </si>
  <si>
    <t>C108</t>
  </si>
  <si>
    <t>C109</t>
  </si>
  <si>
    <t>22-Jan-2026</t>
  </si>
  <si>
    <t>C110</t>
  </si>
  <si>
    <t>04-Mar-2026</t>
  </si>
  <si>
    <t>C111</t>
  </si>
  <si>
    <t>23-Jan-2026</t>
  </si>
  <si>
    <t>C112</t>
  </si>
  <si>
    <t>20-Apr-2026</t>
  </si>
  <si>
    <t>C113</t>
  </si>
  <si>
    <t>C114</t>
  </si>
  <si>
    <t>C115</t>
  </si>
  <si>
    <t>23-Mar-2026</t>
  </si>
  <si>
    <t>C116</t>
  </si>
  <si>
    <t>19-Feb-2026</t>
  </si>
  <si>
    <t>C117</t>
  </si>
  <si>
    <t>15-Jan-2026</t>
  </si>
  <si>
    <t>C118</t>
  </si>
  <si>
    <t>C119</t>
  </si>
  <si>
    <t>19-Mar-2026</t>
  </si>
  <si>
    <t>C120</t>
  </si>
  <si>
    <t>08-Jun-2026</t>
  </si>
  <si>
    <t>C121</t>
  </si>
  <si>
    <t>07-Feb-2026</t>
  </si>
  <si>
    <t>C122</t>
  </si>
  <si>
    <t>C123</t>
  </si>
  <si>
    <t>14-May-2026</t>
  </si>
  <si>
    <t>C124</t>
  </si>
  <si>
    <t>24-Apr-2026</t>
  </si>
  <si>
    <t>C125</t>
  </si>
  <si>
    <t>03-Mar-2026</t>
  </si>
  <si>
    <t>C126</t>
  </si>
  <si>
    <t>C127</t>
  </si>
  <si>
    <t>C128</t>
  </si>
  <si>
    <t>C129</t>
  </si>
  <si>
    <t>25-Jan-2026</t>
  </si>
  <si>
    <t>C130</t>
  </si>
  <si>
    <t>C131</t>
  </si>
  <si>
    <t>04-May-2026</t>
  </si>
  <si>
    <t>C132</t>
  </si>
  <si>
    <t>01-Mar-2026</t>
  </si>
  <si>
    <t>C133</t>
  </si>
  <si>
    <t>16-Mar-2026</t>
  </si>
  <si>
    <t>C134</t>
  </si>
  <si>
    <t>C135</t>
  </si>
  <si>
    <t>20-Jun-2026</t>
  </si>
  <si>
    <t>C136</t>
  </si>
  <si>
    <t>C137</t>
  </si>
  <si>
    <t>C138</t>
  </si>
  <si>
    <t>28-Mar-2026</t>
  </si>
  <si>
    <t>C139</t>
  </si>
  <si>
    <t>C140</t>
  </si>
  <si>
    <t>C141</t>
  </si>
  <si>
    <t>27-Jan-2026</t>
  </si>
  <si>
    <t>C142</t>
  </si>
  <si>
    <t>C143</t>
  </si>
  <si>
    <t>C144</t>
  </si>
  <si>
    <t>C145</t>
  </si>
  <si>
    <t>C146</t>
  </si>
  <si>
    <t>C147</t>
  </si>
  <si>
    <t>C148</t>
  </si>
  <si>
    <t>09-Feb-2026</t>
  </si>
  <si>
    <t>C149</t>
  </si>
  <si>
    <t>C150</t>
  </si>
  <si>
    <t>30-Jan-2026</t>
  </si>
  <si>
    <t>C151</t>
  </si>
  <si>
    <t>C152</t>
  </si>
  <si>
    <t>03-May-2026</t>
  </si>
  <si>
    <t>C153</t>
  </si>
  <si>
    <t>C154</t>
  </si>
  <si>
    <t>23-Jun-2026</t>
  </si>
  <si>
    <t>C155</t>
  </si>
  <si>
    <t>C156</t>
  </si>
  <si>
    <t>C157</t>
  </si>
  <si>
    <t>C158</t>
  </si>
  <si>
    <t>C159</t>
  </si>
  <si>
    <t>C160</t>
  </si>
  <si>
    <t>C161</t>
  </si>
  <si>
    <t>C162</t>
  </si>
  <si>
    <t>C163</t>
  </si>
  <si>
    <t>C164</t>
  </si>
  <si>
    <t>C165</t>
  </si>
  <si>
    <t>C166</t>
  </si>
  <si>
    <t>02-Jun-2026</t>
  </si>
  <si>
    <t>C167</t>
  </si>
  <si>
    <t>C168</t>
  </si>
  <si>
    <t>C169</t>
  </si>
  <si>
    <t>C170</t>
  </si>
  <si>
    <t>C171</t>
  </si>
  <si>
    <t>C172</t>
  </si>
  <si>
    <t>C173</t>
  </si>
  <si>
    <t>C174</t>
  </si>
  <si>
    <t>C175</t>
  </si>
  <si>
    <t>C176</t>
  </si>
  <si>
    <t>C177</t>
  </si>
  <si>
    <t>25-Mar-2026</t>
  </si>
  <si>
    <t>C178</t>
  </si>
  <si>
    <t>C179</t>
  </si>
  <si>
    <t>C180</t>
  </si>
  <si>
    <t>14-Jan-2026</t>
  </si>
  <si>
    <t>C181</t>
  </si>
  <si>
    <t>C182</t>
  </si>
  <si>
    <t>C183</t>
  </si>
  <si>
    <t>10-Apr-2026</t>
  </si>
  <si>
    <t>C184</t>
  </si>
  <si>
    <t>C185</t>
  </si>
  <si>
    <t>C186</t>
  </si>
  <si>
    <t>10-Jun-2026</t>
  </si>
  <si>
    <t>C187</t>
  </si>
  <si>
    <t>C188</t>
  </si>
  <si>
    <t>13-May-2026</t>
  </si>
  <si>
    <t>C189</t>
  </si>
  <si>
    <t>06-May-2026</t>
  </si>
  <si>
    <t>C190</t>
  </si>
  <si>
    <t>C191</t>
  </si>
  <si>
    <t>26-Feb-2026</t>
  </si>
  <si>
    <t>C192</t>
  </si>
  <si>
    <t>C193</t>
  </si>
  <si>
    <t>12-Jun-2026</t>
  </si>
  <si>
    <t>C194</t>
  </si>
  <si>
    <t>C195</t>
  </si>
  <si>
    <t>C196</t>
  </si>
  <si>
    <t>C197</t>
  </si>
  <si>
    <t>C198</t>
  </si>
  <si>
    <t>C199</t>
  </si>
  <si>
    <t>C200</t>
  </si>
  <si>
    <t>C201</t>
  </si>
  <si>
    <t>C202</t>
  </si>
  <si>
    <t>C203</t>
  </si>
  <si>
    <t>31-Jan-2026</t>
  </si>
  <si>
    <t>C204</t>
  </si>
  <si>
    <t>C205</t>
  </si>
  <si>
    <t>29-Mar-2026</t>
  </si>
  <si>
    <t>C206</t>
  </si>
  <si>
    <t>C207</t>
  </si>
  <si>
    <t>C208</t>
  </si>
  <si>
    <t>C209</t>
  </si>
  <si>
    <t>C210</t>
  </si>
  <si>
    <t>C211</t>
  </si>
  <si>
    <t>C212</t>
  </si>
  <si>
    <t>C213</t>
  </si>
  <si>
    <t>13-Mar-2026</t>
  </si>
  <si>
    <t>C214</t>
  </si>
  <si>
    <t>C215</t>
  </si>
  <si>
    <t>C216</t>
  </si>
  <si>
    <t>21-Mar-2026</t>
  </si>
  <si>
    <t>C217</t>
  </si>
  <si>
    <t>C218</t>
  </si>
  <si>
    <t>17-Mar-2026</t>
  </si>
  <si>
    <t>C219</t>
  </si>
  <si>
    <t>06-Mar-2026</t>
  </si>
  <si>
    <t>C220</t>
  </si>
  <si>
    <t>C221</t>
  </si>
  <si>
    <t>C222</t>
  </si>
  <si>
    <t>C223</t>
  </si>
  <si>
    <t>08-May-2026</t>
  </si>
  <si>
    <t>C224</t>
  </si>
  <si>
    <t>19-Jan-2026</t>
  </si>
  <si>
    <t>C225</t>
  </si>
  <si>
    <t>C226</t>
  </si>
  <si>
    <t>C227</t>
  </si>
  <si>
    <t>C228</t>
  </si>
  <si>
    <t>C229</t>
  </si>
  <si>
    <t>C230</t>
  </si>
  <si>
    <t>C231</t>
  </si>
  <si>
    <t>C232</t>
  </si>
  <si>
    <t>11-Jun-2026</t>
  </si>
  <si>
    <t>C233</t>
  </si>
  <si>
    <t>C234</t>
  </si>
  <si>
    <t>C235</t>
  </si>
  <si>
    <t>20-Jan-2026</t>
  </si>
  <si>
    <t>C236</t>
  </si>
  <si>
    <t>C237</t>
  </si>
  <si>
    <t>C238</t>
  </si>
  <si>
    <t>22-Jun-2026</t>
  </si>
  <si>
    <t>C239</t>
  </si>
  <si>
    <t>C240</t>
  </si>
  <si>
    <t>C241</t>
  </si>
  <si>
    <t>22-Mar-2026</t>
  </si>
  <si>
    <t>C242</t>
  </si>
  <si>
    <t>17-May-2026</t>
  </si>
  <si>
    <t>C243</t>
  </si>
  <si>
    <t>C244</t>
  </si>
  <si>
    <t>C245</t>
  </si>
  <si>
    <t>C246</t>
  </si>
  <si>
    <t>C247</t>
  </si>
  <si>
    <t>C248</t>
  </si>
  <si>
    <t>C249</t>
  </si>
  <si>
    <t>06-Jun-2026</t>
  </si>
  <si>
    <t>C250</t>
  </si>
  <si>
    <t>C251</t>
  </si>
  <si>
    <t>C252</t>
  </si>
  <si>
    <t>C253</t>
  </si>
  <si>
    <t>02-Feb-2026</t>
  </si>
  <si>
    <t>C254</t>
  </si>
  <si>
    <t>C255</t>
  </si>
  <si>
    <t>C256</t>
  </si>
  <si>
    <t>17-Jun-2026</t>
  </si>
  <si>
    <t>C257</t>
  </si>
  <si>
    <t>C258</t>
  </si>
  <si>
    <t>C259</t>
  </si>
  <si>
    <t>07-Jan-2026</t>
  </si>
  <si>
    <t>C260</t>
  </si>
  <si>
    <t>27-Apr-2026</t>
  </si>
  <si>
    <t>C261</t>
  </si>
  <si>
    <t>C262</t>
  </si>
  <si>
    <t>C263</t>
  </si>
  <si>
    <t>C264</t>
  </si>
  <si>
    <t>09-Apr-2026</t>
  </si>
  <si>
    <t>C265</t>
  </si>
  <si>
    <t>C266</t>
  </si>
  <si>
    <t>C267</t>
  </si>
  <si>
    <t>C268</t>
  </si>
  <si>
    <t>C269</t>
  </si>
  <si>
    <t>02-Apr-2026</t>
  </si>
  <si>
    <t>C270</t>
  </si>
  <si>
    <t>C271</t>
  </si>
  <si>
    <t>C272</t>
  </si>
  <si>
    <t>09-Jan-2026</t>
  </si>
  <si>
    <t>C273</t>
  </si>
  <si>
    <t>C274</t>
  </si>
  <si>
    <t>C275</t>
  </si>
  <si>
    <t>C276</t>
  </si>
  <si>
    <t>C277</t>
  </si>
  <si>
    <t>14-Feb-2026</t>
  </si>
  <si>
    <t>C278</t>
  </si>
  <si>
    <t>C279</t>
  </si>
  <si>
    <t>03-Feb-2026</t>
  </si>
  <si>
    <t>C280</t>
  </si>
  <si>
    <t>18-Jan-2026</t>
  </si>
  <si>
    <t>C281</t>
  </si>
  <si>
    <t>07-Jun-2026</t>
  </si>
  <si>
    <t>C282</t>
  </si>
  <si>
    <t>C283</t>
  </si>
  <si>
    <t>C284</t>
  </si>
  <si>
    <t>C285</t>
  </si>
  <si>
    <t>C286</t>
  </si>
  <si>
    <t>C287</t>
  </si>
  <si>
    <t>C288</t>
  </si>
  <si>
    <t>09-May-2026</t>
  </si>
  <si>
    <t>C289</t>
  </si>
  <si>
    <t>06-Feb-2026</t>
  </si>
  <si>
    <t>C290</t>
  </si>
  <si>
    <t>23-Feb-2026</t>
  </si>
  <si>
    <t>C291</t>
  </si>
  <si>
    <t>C292</t>
  </si>
  <si>
    <t>C293</t>
  </si>
  <si>
    <t>C294</t>
  </si>
  <si>
    <t>C295</t>
  </si>
  <si>
    <t>C296</t>
  </si>
  <si>
    <t>C297</t>
  </si>
  <si>
    <t>C298</t>
  </si>
  <si>
    <t>C299</t>
  </si>
  <si>
    <t>12-Mar-2026</t>
  </si>
  <si>
    <t>C300</t>
  </si>
  <si>
    <t>20-Mar-2026</t>
  </si>
  <si>
    <t>Recruitment Stages</t>
  </si>
  <si>
    <t>Total Applicants</t>
  </si>
  <si>
    <t>Application Sources</t>
  </si>
  <si>
    <t>Applied Month</t>
  </si>
  <si>
    <t>Hired per Dept</t>
  </si>
  <si>
    <t>Gender Diversity</t>
  </si>
  <si>
    <t>Offer Acceptance Rate</t>
  </si>
  <si>
    <t>Applicants per Dept</t>
  </si>
  <si>
    <t>Hiring Rate</t>
  </si>
  <si>
    <t>Reruitment Dashboard - Drill Through</t>
  </si>
  <si>
    <t>Days to Hire per Dept</t>
  </si>
  <si>
    <t>January</t>
  </si>
  <si>
    <t>March</t>
  </si>
  <si>
    <t>April</t>
  </si>
  <si>
    <t>May</t>
  </si>
  <si>
    <t>June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</si>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</sst>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p&quot;* #,##0.00_-;\-&quot;Rp&quot;* #,##0.00_-;_-&quot;Rp&quot;* &quot;-&quot;??_-;_-@_-"/>
    <numFmt numFmtId="164" formatCode="_-&quot;Rp&quot;* #,##0_-;\-&quot;Rp&quot;* #,##0_-;_-&quot;Rp&quot;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masis MT Pro Black"/>
      <family val="1"/>
    </font>
    <font>
      <sz val="50"/>
      <color theme="1"/>
      <name val="Amasis MT Pro Black"/>
      <family val="1"/>
    </font>
    <font>
      <b/>
      <sz val="25"/>
      <color theme="1"/>
      <name val="Amasis MT Pro Medium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vertical="center"/>
    </xf>
    <xf numFmtId="0" fontId="0" fillId="0" borderId="1" xfId="0" applyBorder="1"/>
    <xf numFmtId="0" fontId="2" fillId="0" borderId="1" xfId="0" applyFont="1" applyBorder="1"/>
    <xf numFmtId="2" fontId="0" fillId="0" borderId="1" xfId="0" applyNumberFormat="1" applyBorder="1"/>
    <xf numFmtId="9" fontId="2" fillId="0" borderId="0" xfId="2" applyFont="1"/>
    <xf numFmtId="9" fontId="0" fillId="0" borderId="1" xfId="2" applyFont="1" applyBorder="1"/>
    <xf numFmtId="164" fontId="0" fillId="0" borderId="1" xfId="1" applyNumberFormat="1" applyFont="1" applyBorder="1"/>
    <xf numFmtId="0" fontId="0" fillId="0" borderId="0" xfId="0" applyAlignment="1">
      <alignment horizontal="center"/>
    </xf>
    <xf numFmtId="9" fontId="0" fillId="0" borderId="0" xfId="2" applyFont="1" applyFill="1" applyBorder="1"/>
    <xf numFmtId="9" fontId="0" fillId="0" borderId="2" xfId="2" applyFont="1" applyFill="1" applyBorder="1"/>
    <xf numFmtId="2" fontId="0" fillId="0" borderId="0" xfId="0" applyNumberFormat="1"/>
    <xf numFmtId="0" fontId="2" fillId="0" borderId="2" xfId="0" applyFont="1" applyBorder="1" applyAlignment="1">
      <alignment vertical="center"/>
    </xf>
    <xf numFmtId="0" fontId="5" fillId="0" borderId="0" xfId="0" applyFont="1" applyAlignment="1">
      <alignment horizontal="center"/>
    </xf>
    <xf numFmtId="164" fontId="0" fillId="0" borderId="2" xfId="1" applyNumberFormat="1" applyFont="1" applyFill="1" applyBorder="1"/>
    <xf numFmtId="0" fontId="3" fillId="0" borderId="0" xfId="0" applyFont="1"/>
    <xf numFmtId="0" fontId="4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5" fillId="3" borderId="0" xfId="0" applyFont="1" applyFill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1"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098910275967842"/>
          <c:y val="0.17480513341608195"/>
          <c:w val="0.2964474738339164"/>
          <c:h val="0.70143770378992987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256-4682-8C07-7A8A772FE6CD}"/>
              </c:ext>
            </c:extLst>
          </c:dPt>
          <c:dPt>
            <c:idx val="1"/>
            <c:bubble3D val="0"/>
            <c:spPr>
              <a:solidFill>
                <a:schemeClr val="accent1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256-4682-8C07-7A8A772FE6CD}"/>
              </c:ext>
            </c:extLst>
          </c:dPt>
          <c:dLbls>
            <c:dLbl>
              <c:idx val="0"/>
              <c:layout>
                <c:manualLayout>
                  <c:x val="0.17513702974915693"/>
                  <c:y val="-0.13809544521312025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1F0B9D2-371D-48AF-B3CC-C06C367F3DFC}" type="CATEGORYNAME">
                      <a:rPr lang="en-US" sz="1200">
                        <a:ln>
                          <a:noFill/>
                        </a:ln>
                        <a:solidFill>
                          <a:schemeClr val="tx1"/>
                        </a:solidFill>
                      </a:rPr>
                      <a:pPr>
                        <a:defRPr>
                          <a:ln>
                            <a:noFill/>
                          </a:ln>
                          <a:solidFill>
                            <a:schemeClr val="tx1"/>
                          </a:solidFill>
                        </a:defRPr>
                      </a:pPr>
                      <a:t>[CATEGORY NAME]</a:t>
                    </a:fld>
                    <a:r>
                      <a:rPr lang="en-US" sz="1200" baseline="0">
                        <a:ln>
                          <a:noFill/>
                        </a:ln>
                        <a:solidFill>
                          <a:schemeClr val="tx1"/>
                        </a:solidFill>
                      </a:rPr>
                      <a:t>
</a:t>
                    </a:r>
                    <a:fld id="{F1C988E5-3E42-4FA7-A4A2-3AFC384EC908}" type="PERCENTAGE">
                      <a:rPr lang="en-US" sz="1200" baseline="0">
                        <a:ln>
                          <a:noFill/>
                        </a:ln>
                        <a:solidFill>
                          <a:schemeClr val="tx1"/>
                        </a:solidFill>
                      </a:rPr>
                      <a:pPr>
                        <a:defRPr>
                          <a:ln>
                            <a:noFill/>
                          </a:ln>
                          <a:solidFill>
                            <a:schemeClr val="tx1"/>
                          </a:solidFill>
                        </a:defRPr>
                      </a:pPr>
                      <a:t>[PERCENTAGE]</a:t>
                    </a:fld>
                    <a:endParaRPr lang="en-US" sz="1200" baseline="0">
                      <a:ln>
                        <a:noFill/>
                      </a:ln>
                      <a:solidFill>
                        <a:schemeClr val="tx1"/>
                      </a:solidFill>
                    </a:endParaRPr>
                  </a:p>
                </c:rich>
              </c:tx>
              <c:spPr>
                <a:solidFill>
                  <a:sysClr val="window" lastClr="FFFFFF">
                    <a:alpha val="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9765166973723856"/>
                      <c:h val="0.39540598729469867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B256-4682-8C07-7A8A772FE6CD}"/>
                </c:ext>
              </c:extLst>
            </c:dLbl>
            <c:dLbl>
              <c:idx val="1"/>
              <c:layout>
                <c:manualLayout>
                  <c:x val="-0.17285415558598038"/>
                  <c:y val="8.6948834864107039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ln>
                          <a:noFill/>
                        </a:ln>
                        <a:solidFill>
                          <a:schemeClr val="tx1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A31D140A-1B90-4503-80C8-730A95565B83}" type="CATEGORYNAME">
                      <a:rPr lang="en-US" sz="1100"/>
                      <a:pPr>
                        <a:defRPr>
                          <a:ln>
                            <a:noFill/>
                          </a:ln>
                          <a:solidFill>
                            <a:schemeClr val="tx1"/>
                          </a:solidFill>
                        </a:defRPr>
                      </a:pPr>
                      <a:t>[CATEGORY NAME]</a:t>
                    </a:fld>
                    <a:r>
                      <a:rPr lang="en-US" baseline="0"/>
                      <a:t>
</a:t>
                    </a:r>
                    <a:fld id="{301F5368-5EE2-4D3E-B37A-F5BCB32E1457}" type="PERCENTAGE">
                      <a:rPr lang="en-US" sz="1100" baseline="0"/>
                      <a:pPr>
                        <a:defRPr>
                          <a:ln>
                            <a:noFill/>
                          </a:ln>
                          <a:solidFill>
                            <a:schemeClr val="tx1"/>
                          </a:solidFill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solidFill>
                  <a:sysClr val="window" lastClr="FFFFFF">
                    <a:alpha val="0"/>
                  </a:sysClr>
                </a:solidFill>
                <a:ln>
                  <a:noFill/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2239872674067043"/>
                      <c:h val="0.40049406820138711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B256-4682-8C07-7A8A772FE6CD}"/>
                </c:ext>
              </c:extLst>
            </c:dLbl>
            <c:spPr>
              <a:solidFill>
                <a:sysClr val="window" lastClr="FFFFFF">
                  <a:alpha val="0"/>
                </a:sys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Validation!$A$38:$A$39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Validation!$C$38:$C$39</c:f>
              <c:numCache>
                <c:formatCode>General</c:formatCode>
                <c:ptCount val="2"/>
                <c:pt idx="0">
                  <c:v>13</c:v>
                </c:pt>
                <c:pt idx="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56-4682-8C07-7A8A772FE6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d-ID" sz="2500">
                <a:solidFill>
                  <a:schemeClr val="tx1"/>
                </a:solidFill>
                <a:latin typeface="Amasis MT Pro Black" panose="02040A04050005020304" pitchFamily="18" charset="0"/>
              </a:rPr>
              <a:t>Applicants</a:t>
            </a:r>
            <a:r>
              <a:rPr lang="id-ID" sz="2500" baseline="0">
                <a:solidFill>
                  <a:schemeClr val="tx1"/>
                </a:solidFill>
                <a:latin typeface="Amasis MT Pro Black" panose="02040A04050005020304" pitchFamily="18" charset="0"/>
              </a:rPr>
              <a:t> Platform</a:t>
            </a:r>
            <a:endParaRPr lang="en-ID" sz="2500">
              <a:solidFill>
                <a:schemeClr val="tx1"/>
              </a:solidFill>
              <a:latin typeface="Amasis MT Pro Black" panose="02040A04050005020304" pitchFamily="18" charset="0"/>
            </a:endParaRPr>
          </a:p>
        </c:rich>
      </c:tx>
      <c:overlay val="0"/>
      <c:spPr>
        <a:solidFill>
          <a:schemeClr val="bg1">
            <a:alpha val="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D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Validation!$K$10:$K$15</c:f>
              <c:strCache>
                <c:ptCount val="6"/>
                <c:pt idx="0">
                  <c:v>Glints</c:v>
                </c:pt>
                <c:pt idx="1">
                  <c:v>Career Fair</c:v>
                </c:pt>
                <c:pt idx="2">
                  <c:v>LinkedIn</c:v>
                </c:pt>
                <c:pt idx="3">
                  <c:v>Referral</c:v>
                </c:pt>
                <c:pt idx="4">
                  <c:v>JobStreet</c:v>
                </c:pt>
                <c:pt idx="5">
                  <c:v>Company Website</c:v>
                </c:pt>
              </c:strCache>
            </c:strRef>
          </c:cat>
          <c:val>
            <c:numRef>
              <c:f>Validation!$L$10:$L$15</c:f>
              <c:numCache>
                <c:formatCode>General</c:formatCode>
                <c:ptCount val="6"/>
                <c:pt idx="0">
                  <c:v>9</c:v>
                </c:pt>
                <c:pt idx="1">
                  <c:v>10</c:v>
                </c:pt>
                <c:pt idx="2">
                  <c:v>10</c:v>
                </c:pt>
                <c:pt idx="3">
                  <c:v>11</c:v>
                </c:pt>
                <c:pt idx="4">
                  <c:v>13</c:v>
                </c:pt>
                <c:pt idx="5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4A-4196-BFAE-E9F31D73D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2998655"/>
        <c:axId val="1018990255"/>
      </c:barChart>
      <c:catAx>
        <c:axId val="842998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8990255"/>
        <c:crosses val="autoZero"/>
        <c:auto val="1"/>
        <c:lblAlgn val="ctr"/>
        <c:lblOffset val="100"/>
        <c:noMultiLvlLbl val="0"/>
      </c:catAx>
      <c:valAx>
        <c:axId val="101899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998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id-ID" sz="2500">
                <a:solidFill>
                  <a:schemeClr val="tx1"/>
                </a:solidFill>
                <a:latin typeface="Amasis MT Pro Black" panose="02040A04050005020304" pitchFamily="18" charset="0"/>
              </a:rPr>
              <a:t>Days to Hire</a:t>
            </a:r>
            <a:endParaRPr lang="en-US" sz="2500">
              <a:solidFill>
                <a:schemeClr val="tx1"/>
              </a:solidFill>
              <a:latin typeface="Amasis MT Pro Black" panose="02040A040500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Validation!$I$18</c:f>
              <c:strCache>
                <c:ptCount val="1"/>
                <c:pt idx="0">
                  <c:v>Days to Hire per Dept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Validation!$F$19:$F$24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Validation!$I$19:$I$24</c:f>
              <c:numCache>
                <c:formatCode>0.00</c:formatCode>
                <c:ptCount val="6"/>
                <c:pt idx="0">
                  <c:v>22.75</c:v>
                </c:pt>
                <c:pt idx="1">
                  <c:v>21.333333333333332</c:v>
                </c:pt>
                <c:pt idx="2">
                  <c:v>19</c:v>
                </c:pt>
                <c:pt idx="3">
                  <c:v>25.6</c:v>
                </c:pt>
                <c:pt idx="4">
                  <c:v>24.777777777777779</c:v>
                </c:pt>
                <c:pt idx="5">
                  <c:v>25.25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83-4894-8D23-1F39017C2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340303"/>
        <c:axId val="1019045455"/>
      </c:lineChart>
      <c:catAx>
        <c:axId val="1046340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045455"/>
        <c:crosses val="autoZero"/>
        <c:auto val="1"/>
        <c:lblAlgn val="ctr"/>
        <c:lblOffset val="100"/>
        <c:noMultiLvlLbl val="0"/>
      </c:catAx>
      <c:valAx>
        <c:axId val="1019045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3403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Recruitment Stages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d-ID" sz="2000" b="0" i="0" u="none" strike="noStrike" baseline="0">
              <a:solidFill>
                <a:schemeClr val="tx1"/>
              </a:solidFill>
              <a:latin typeface="Amasis MT Pro Black" panose="02040A04050005020304" pitchFamily="18" charset="0"/>
            </a:rPr>
            <a:t>Recruitment Stages</a:t>
          </a:r>
        </a:p>
      </cx:txPr>
    </cx:title>
    <cx:plotArea>
      <cx:plotAreaRegion>
        <cx:series layoutId="funnel" uniqueId="{B2B79CCB-211E-4339-A024-9510601AF191}">
          <cx:dataLabels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 sz="1050">
                <a:solidFill>
                  <a:schemeClr val="tx1"/>
                </a:solidFill>
              </a:defRPr>
            </a:pPr>
            <a:endParaRPr lang="en-US" sz="1050" b="0" i="0" u="none" strike="noStrike" baseline="0">
              <a:solidFill>
                <a:schemeClr val="tx1"/>
              </a:solidFill>
              <a:latin typeface="Calibri"/>
            </a:endParaRPr>
          </a:p>
        </cx:txPr>
      </cx:axis>
    </cx:plotArea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28268</xdr:colOff>
      <xdr:row>14</xdr:row>
      <xdr:rowOff>38509</xdr:rowOff>
    </xdr:from>
    <xdr:to>
      <xdr:col>28</xdr:col>
      <xdr:colOff>532580</xdr:colOff>
      <xdr:row>37</xdr:row>
      <xdr:rowOff>7783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36449A67-287A-480A-A04A-43E41CBBAC93}"/>
            </a:ext>
          </a:extLst>
        </xdr:cNvPr>
        <xdr:cNvSpPr/>
      </xdr:nvSpPr>
      <xdr:spPr>
        <a:xfrm>
          <a:off x="11704074" y="2977944"/>
          <a:ext cx="6034958" cy="4209436"/>
        </a:xfrm>
        <a:prstGeom prst="roundRect">
          <a:avLst>
            <a:gd name="adj" fmla="val 6448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9</xdr:col>
      <xdr:colOff>101190</xdr:colOff>
      <xdr:row>13</xdr:row>
      <xdr:rowOff>152399</xdr:rowOff>
    </xdr:from>
    <xdr:to>
      <xdr:col>18</xdr:col>
      <xdr:colOff>245807</xdr:colOff>
      <xdr:row>36</xdr:row>
      <xdr:rowOff>121674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7D26F492-6193-C2BA-9D46-902EB0C79B9A}"/>
            </a:ext>
          </a:extLst>
        </xdr:cNvPr>
        <xdr:cNvSpPr/>
      </xdr:nvSpPr>
      <xdr:spPr>
        <a:xfrm>
          <a:off x="5631835" y="2907480"/>
          <a:ext cx="5675262" cy="4209436"/>
        </a:xfrm>
        <a:prstGeom prst="roundRect">
          <a:avLst>
            <a:gd name="adj" fmla="val 6448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10242</xdr:colOff>
      <xdr:row>14</xdr:row>
      <xdr:rowOff>10242</xdr:rowOff>
    </xdr:from>
    <xdr:to>
      <xdr:col>8</xdr:col>
      <xdr:colOff>337984</xdr:colOff>
      <xdr:row>36</xdr:row>
      <xdr:rowOff>163871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74BC0E17-5A80-CE25-60A4-283DFD0DB453}"/>
            </a:ext>
          </a:extLst>
        </xdr:cNvPr>
        <xdr:cNvSpPr/>
      </xdr:nvSpPr>
      <xdr:spPr>
        <a:xfrm>
          <a:off x="624758" y="2949677"/>
          <a:ext cx="4629355" cy="4209436"/>
        </a:xfrm>
        <a:prstGeom prst="roundRect">
          <a:avLst>
            <a:gd name="adj" fmla="val 6448"/>
          </a:avLst>
        </a:prstGeom>
        <a:solidFill>
          <a:schemeClr val="accent1">
            <a:lumMod val="20000"/>
            <a:lumOff val="80000"/>
          </a:schemeClr>
        </a:solidFill>
        <a:ln>
          <a:solidFill>
            <a:schemeClr val="tx2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12</xdr:col>
      <xdr:colOff>315622</xdr:colOff>
      <xdr:row>5</xdr:row>
      <xdr:rowOff>373529</xdr:rowOff>
    </xdr:from>
    <xdr:to>
      <xdr:col>17</xdr:col>
      <xdr:colOff>325390</xdr:colOff>
      <xdr:row>13</xdr:row>
      <xdr:rowOff>9338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EDA7BB90-1B2E-3571-D4A5-76B26681E77C}"/>
            </a:ext>
          </a:extLst>
        </xdr:cNvPr>
        <xdr:cNvSpPr/>
      </xdr:nvSpPr>
      <xdr:spPr>
        <a:xfrm>
          <a:off x="7578435" y="1455013"/>
          <a:ext cx="3035939" cy="1342372"/>
        </a:xfrm>
        <a:prstGeom prst="roundRect">
          <a:avLst/>
        </a:prstGeom>
        <a:solidFill>
          <a:sysClr val="window" lastClr="FFFFFF"/>
        </a:solidFill>
        <a:ln>
          <a:solidFill>
            <a:schemeClr val="tx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aseline="0">
              <a:solidFill>
                <a:sysClr val="windowText" lastClr="000000"/>
              </a:solidFill>
              <a:latin typeface="Amasis MT Pro Medium" panose="02040604050005020304" pitchFamily="18" charset="0"/>
            </a:rPr>
            <a:t>Applicants Hired</a:t>
          </a:r>
          <a:endParaRPr lang="en-ID" sz="2000">
            <a:solidFill>
              <a:sysClr val="windowText" lastClr="000000"/>
            </a:solidFill>
            <a:latin typeface="Amasis MT Pro Medium" panose="02040604050005020304" pitchFamily="18" charset="0"/>
          </a:endParaRPr>
        </a:p>
      </xdr:txBody>
    </xdr:sp>
    <xdr:clientData/>
  </xdr:twoCellAnchor>
  <xdr:twoCellAnchor>
    <xdr:from>
      <xdr:col>1</xdr:col>
      <xdr:colOff>147109</xdr:colOff>
      <xdr:row>15</xdr:row>
      <xdr:rowOff>9729</xdr:rowOff>
    </xdr:from>
    <xdr:to>
      <xdr:col>8</xdr:col>
      <xdr:colOff>143388</xdr:colOff>
      <xdr:row>35</xdr:row>
      <xdr:rowOff>10243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9989882-884C-B049-87E8-824D2E9C28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56709" y="3127579"/>
              <a:ext cx="4263479" cy="36835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D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429510</xdr:colOff>
      <xdr:row>6</xdr:row>
      <xdr:rowOff>175034</xdr:rowOff>
    </xdr:from>
    <xdr:to>
      <xdr:col>17</xdr:col>
      <xdr:colOff>337898</xdr:colOff>
      <xdr:row>13</xdr:row>
      <xdr:rowOff>111609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7CC75B7-016B-D8F2-6C45-49DC432509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6</xdr:row>
      <xdr:rowOff>0</xdr:rowOff>
    </xdr:from>
    <xdr:to>
      <xdr:col>6</xdr:col>
      <xdr:colOff>9769</xdr:colOff>
      <xdr:row>12</xdr:row>
      <xdr:rowOff>97692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F7425627-3690-1D00-86A4-CBC87A8CBD0A}"/>
            </a:ext>
          </a:extLst>
        </xdr:cNvPr>
        <xdr:cNvSpPr/>
      </xdr:nvSpPr>
      <xdr:spPr>
        <a:xfrm>
          <a:off x="605692" y="1572846"/>
          <a:ext cx="3038231" cy="1240692"/>
        </a:xfrm>
        <a:prstGeom prst="roundRect">
          <a:avLst/>
        </a:prstGeom>
        <a:solidFill>
          <a:sysClr val="window" lastClr="FFFFFF"/>
        </a:solidFill>
        <a:ln>
          <a:solidFill>
            <a:schemeClr val="tx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>
              <a:solidFill>
                <a:sysClr val="windowText" lastClr="000000"/>
              </a:solidFill>
              <a:latin typeface="Amasis MT Pro Medium" panose="02040604050005020304" pitchFamily="18" charset="0"/>
            </a:rPr>
            <a:t>Offer</a:t>
          </a:r>
          <a:r>
            <a:rPr lang="id-ID" sz="2000" baseline="0">
              <a:solidFill>
                <a:sysClr val="windowText" lastClr="000000"/>
              </a:solidFill>
              <a:latin typeface="Amasis MT Pro Medium" panose="02040604050005020304" pitchFamily="18" charset="0"/>
            </a:rPr>
            <a:t> Acceptance Rate</a:t>
          </a:r>
          <a:endParaRPr lang="en-ID" sz="2000">
            <a:solidFill>
              <a:sysClr val="windowText" lastClr="000000"/>
            </a:solidFill>
            <a:latin typeface="Amasis MT Pro Medium" panose="02040604050005020304" pitchFamily="18" charset="0"/>
          </a:endParaRPr>
        </a:p>
      </xdr:txBody>
    </xdr:sp>
    <xdr:clientData/>
  </xdr:twoCellAnchor>
  <xdr:twoCellAnchor>
    <xdr:from>
      <xdr:col>2</xdr:col>
      <xdr:colOff>36264</xdr:colOff>
      <xdr:row>8</xdr:row>
      <xdr:rowOff>78153</xdr:rowOff>
    </xdr:from>
    <xdr:to>
      <xdr:col>5</xdr:col>
      <xdr:colOff>92892</xdr:colOff>
      <xdr:row>12</xdr:row>
      <xdr:rowOff>0</xdr:rowOff>
    </xdr:to>
    <xdr:sp macro="" textlink="Acceptance_dept">
      <xdr:nvSpPr>
        <xdr:cNvPr id="8" name="Rectangle 7">
          <a:extLst>
            <a:ext uri="{FF2B5EF4-FFF2-40B4-BE49-F238E27FC236}">
              <a16:creationId xmlns:a16="http://schemas.microsoft.com/office/drawing/2014/main" id="{AE281930-81CE-5381-CD80-F02AAE863DD6}"/>
            </a:ext>
          </a:extLst>
        </xdr:cNvPr>
        <xdr:cNvSpPr/>
      </xdr:nvSpPr>
      <xdr:spPr>
        <a:xfrm>
          <a:off x="1263213" y="2026204"/>
          <a:ext cx="1897052" cy="653711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474E50D9-C47A-4CE9-8999-DA760BA3BCEC}" type="TxLink">
            <a:rPr lang="en-US" sz="3500" b="1" i="0" u="none" strike="noStrike">
              <a:solidFill>
                <a:srgbClr val="000000"/>
              </a:solidFill>
              <a:latin typeface="Amasis MT Pro Black" panose="02040A04050005020304" pitchFamily="18" charset="0"/>
              <a:ea typeface="Calibri"/>
              <a:cs typeface="Calibri"/>
            </a:rPr>
            <a:pPr algn="ctr"/>
            <a:t>84%</a:t>
          </a:fld>
          <a:endParaRPr lang="en-ID" sz="3500"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6</xdr:col>
      <xdr:colOff>464808</xdr:colOff>
      <xdr:row>6</xdr:row>
      <xdr:rowOff>18115</xdr:rowOff>
    </xdr:from>
    <xdr:to>
      <xdr:col>11</xdr:col>
      <xdr:colOff>474577</xdr:colOff>
      <xdr:row>12</xdr:row>
      <xdr:rowOff>142465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4A869854-CF93-53D4-934E-0C6CE0E6C8E7}"/>
            </a:ext>
          </a:extLst>
        </xdr:cNvPr>
        <xdr:cNvSpPr/>
      </xdr:nvSpPr>
      <xdr:spPr>
        <a:xfrm>
          <a:off x="4096214" y="1486553"/>
          <a:ext cx="3035941" cy="1255443"/>
        </a:xfrm>
        <a:prstGeom prst="roundRect">
          <a:avLst/>
        </a:prstGeom>
        <a:solidFill>
          <a:sysClr val="window" lastClr="FFFFFF"/>
        </a:solidFill>
        <a:ln>
          <a:solidFill>
            <a:schemeClr val="tx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aseline="0">
              <a:solidFill>
                <a:sysClr val="windowText" lastClr="000000"/>
              </a:solidFill>
              <a:latin typeface="Amasis MT Pro Medium" panose="02040604050005020304" pitchFamily="18" charset="0"/>
            </a:rPr>
            <a:t>Hiring Rate</a:t>
          </a:r>
          <a:endParaRPr lang="en-ID" sz="2000">
            <a:solidFill>
              <a:sysClr val="windowText" lastClr="000000"/>
            </a:solidFill>
            <a:latin typeface="Amasis MT Pro Medium" panose="02040604050005020304" pitchFamily="18" charset="0"/>
          </a:endParaRPr>
        </a:p>
      </xdr:txBody>
    </xdr:sp>
    <xdr:clientData/>
  </xdr:twoCellAnchor>
  <xdr:twoCellAnchor>
    <xdr:from>
      <xdr:col>7</xdr:col>
      <xdr:colOff>510597</xdr:colOff>
      <xdr:row>8</xdr:row>
      <xdr:rowOff>101397</xdr:rowOff>
    </xdr:from>
    <xdr:to>
      <xdr:col>10</xdr:col>
      <xdr:colOff>567226</xdr:colOff>
      <xdr:row>12</xdr:row>
      <xdr:rowOff>23244</xdr:rowOff>
    </xdr:to>
    <xdr:sp macro="" textlink="Hiring_rate">
      <xdr:nvSpPr>
        <xdr:cNvPr id="10" name="Rectangle 9">
          <a:extLst>
            <a:ext uri="{FF2B5EF4-FFF2-40B4-BE49-F238E27FC236}">
              <a16:creationId xmlns:a16="http://schemas.microsoft.com/office/drawing/2014/main" id="{4C0543B6-D226-B6E9-230D-AC2CEA69593D}"/>
            </a:ext>
          </a:extLst>
        </xdr:cNvPr>
        <xdr:cNvSpPr/>
      </xdr:nvSpPr>
      <xdr:spPr>
        <a:xfrm>
          <a:off x="4747238" y="1946866"/>
          <a:ext cx="1872332" cy="675909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fld id="{888B23F5-DCD6-4D9D-B1AB-CDAEE14C3C8B}" type="TxLink">
            <a:rPr lang="en-US" sz="3500" b="0" i="0" u="none" strike="noStrike">
              <a:solidFill>
                <a:srgbClr val="000000"/>
              </a:solidFill>
              <a:latin typeface="Amasis MT Pro Black" panose="02040A04050005020304" pitchFamily="18" charset="0"/>
              <a:ea typeface="Calibri"/>
              <a:cs typeface="Calibri"/>
            </a:rPr>
            <a:pPr algn="ctr"/>
            <a:t>36%</a:t>
          </a:fld>
          <a:endParaRPr lang="en-ID" sz="3500"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9</xdr:col>
      <xdr:colOff>208115</xdr:colOff>
      <xdr:row>14</xdr:row>
      <xdr:rowOff>184089</xdr:rowOff>
    </xdr:from>
    <xdr:to>
      <xdr:col>18</xdr:col>
      <xdr:colOff>61452</xdr:colOff>
      <xdr:row>35</xdr:row>
      <xdr:rowOff>112661</xdr:rowOff>
    </xdr:to>
    <xdr:graphicFrame macro="">
      <xdr:nvGraphicFramePr>
        <xdr:cNvPr id="11" name="Chart 6">
          <a:extLst>
            <a:ext uri="{FF2B5EF4-FFF2-40B4-BE49-F238E27FC236}">
              <a16:creationId xmlns:a16="http://schemas.microsoft.com/office/drawing/2014/main" id="{D4EC93CC-2815-8BBB-29E1-9FE8994640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184355</xdr:colOff>
      <xdr:row>14</xdr:row>
      <xdr:rowOff>174403</xdr:rowOff>
    </xdr:from>
    <xdr:to>
      <xdr:col>28</xdr:col>
      <xdr:colOff>307259</xdr:colOff>
      <xdr:row>35</xdr:row>
      <xdr:rowOff>174113</xdr:rowOff>
    </xdr:to>
    <xdr:graphicFrame macro="">
      <xdr:nvGraphicFramePr>
        <xdr:cNvPr id="13" name="Chart 8">
          <a:extLst>
            <a:ext uri="{FF2B5EF4-FFF2-40B4-BE49-F238E27FC236}">
              <a16:creationId xmlns:a16="http://schemas.microsoft.com/office/drawing/2014/main" id="{0D224AC0-A684-741F-C0D0-5D0C4F47D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131265</xdr:colOff>
      <xdr:row>6</xdr:row>
      <xdr:rowOff>19843</xdr:rowOff>
    </xdr:from>
    <xdr:to>
      <xdr:col>23</xdr:col>
      <xdr:colOff>139282</xdr:colOff>
      <xdr:row>13</xdr:row>
      <xdr:rowOff>0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F1FA8AD5-109C-E5EA-1AB9-F333C99F4353}"/>
            </a:ext>
          </a:extLst>
        </xdr:cNvPr>
        <xdr:cNvSpPr/>
      </xdr:nvSpPr>
      <xdr:spPr>
        <a:xfrm>
          <a:off x="11025484" y="1488281"/>
          <a:ext cx="3034189" cy="1299766"/>
        </a:xfrm>
        <a:prstGeom prst="roundRect">
          <a:avLst/>
        </a:prstGeom>
        <a:solidFill>
          <a:sysClr val="window" lastClr="FFFFFF"/>
        </a:solidFill>
        <a:ln>
          <a:solidFill>
            <a:schemeClr val="tx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aseline="0">
              <a:solidFill>
                <a:sysClr val="windowText" lastClr="000000"/>
              </a:solidFill>
              <a:latin typeface="Amasis MT Pro Medium" panose="02040604050005020304" pitchFamily="18" charset="0"/>
            </a:rPr>
            <a:t>Expected Salary</a:t>
          </a:r>
          <a:endParaRPr lang="en-ID" sz="2000">
            <a:solidFill>
              <a:sysClr val="windowText" lastClr="000000"/>
            </a:solidFill>
            <a:latin typeface="Amasis MT Pro Medium" panose="02040604050005020304" pitchFamily="18" charset="0"/>
          </a:endParaRPr>
        </a:p>
      </xdr:txBody>
    </xdr:sp>
    <xdr:clientData/>
  </xdr:twoCellAnchor>
  <xdr:twoCellAnchor>
    <xdr:from>
      <xdr:col>23</xdr:col>
      <xdr:colOff>600578</xdr:colOff>
      <xdr:row>6</xdr:row>
      <xdr:rowOff>9921</xdr:rowOff>
    </xdr:from>
    <xdr:to>
      <xdr:col>29</xdr:col>
      <xdr:colOff>3360</xdr:colOff>
      <xdr:row>13</xdr:row>
      <xdr:rowOff>9922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05237226-A9F2-1690-9CC7-00429395A352}"/>
            </a:ext>
          </a:extLst>
        </xdr:cNvPr>
        <xdr:cNvSpPr/>
      </xdr:nvSpPr>
      <xdr:spPr>
        <a:xfrm>
          <a:off x="14520969" y="1478359"/>
          <a:ext cx="3034188" cy="1319610"/>
        </a:xfrm>
        <a:prstGeom prst="roundRect">
          <a:avLst/>
        </a:prstGeom>
        <a:solidFill>
          <a:sysClr val="window" lastClr="FFFFFF"/>
        </a:solidFill>
        <a:ln>
          <a:solidFill>
            <a:schemeClr val="tx2">
              <a:lumMod val="75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id-ID" sz="2000" baseline="0">
              <a:solidFill>
                <a:sysClr val="windowText" lastClr="000000"/>
              </a:solidFill>
              <a:latin typeface="Amasis MT Pro Medium" panose="02040604050005020304" pitchFamily="18" charset="0"/>
            </a:rPr>
            <a:t>Offered Salary</a:t>
          </a:r>
          <a:endParaRPr lang="en-ID" sz="2000">
            <a:solidFill>
              <a:sysClr val="windowText" lastClr="000000"/>
            </a:solidFill>
            <a:latin typeface="Amasis MT Pro Medium" panose="02040604050005020304" pitchFamily="18" charset="0"/>
          </a:endParaRPr>
        </a:p>
      </xdr:txBody>
    </xdr:sp>
    <xdr:clientData/>
  </xdr:twoCellAnchor>
  <xdr:twoCellAnchor>
    <xdr:from>
      <xdr:col>18</xdr:col>
      <xdr:colOff>208506</xdr:colOff>
      <xdr:row>8</xdr:row>
      <xdr:rowOff>92677</xdr:rowOff>
    </xdr:from>
    <xdr:to>
      <xdr:col>22</xdr:col>
      <xdr:colOff>587609</xdr:colOff>
      <xdr:row>12</xdr:row>
      <xdr:rowOff>14524</xdr:rowOff>
    </xdr:to>
    <xdr:sp macro="" textlink="Expected_salary">
      <xdr:nvSpPr>
        <xdr:cNvPr id="18" name="Rectangle 17">
          <a:extLst>
            <a:ext uri="{FF2B5EF4-FFF2-40B4-BE49-F238E27FC236}">
              <a16:creationId xmlns:a16="http://schemas.microsoft.com/office/drawing/2014/main" id="{0BFD1E2C-A8BE-0C09-BDAE-B509C9EC1F68}"/>
            </a:ext>
          </a:extLst>
        </xdr:cNvPr>
        <xdr:cNvSpPr/>
      </xdr:nvSpPr>
      <xdr:spPr>
        <a:xfrm>
          <a:off x="11126715" y="1902901"/>
          <a:ext cx="2805372" cy="642145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390F7E61-5E17-470B-9F8E-77CB5186EA84}" type="TxLink">
            <a:rPr lang="en-US" sz="2500" b="0" i="0" u="none" strike="noStrike">
              <a:solidFill>
                <a:srgbClr val="000000"/>
              </a:solidFill>
              <a:latin typeface="Amasis MT Pro Black" panose="02040A04050005020304" pitchFamily="18" charset="0"/>
              <a:ea typeface="Calibri"/>
              <a:cs typeface="Calibri"/>
            </a:rPr>
            <a:pPr algn="ctr"/>
            <a:t> Rp11.141.014 </a:t>
          </a:fld>
          <a:endParaRPr lang="en-ID" sz="2500">
            <a:latin typeface="Amasis MT Pro Black" panose="02040A04050005020304" pitchFamily="18" charset="0"/>
          </a:endParaRPr>
        </a:p>
      </xdr:txBody>
    </xdr:sp>
    <xdr:clientData/>
  </xdr:twoCellAnchor>
  <xdr:twoCellAnchor>
    <xdr:from>
      <xdr:col>24</xdr:col>
      <xdr:colOff>38667</xdr:colOff>
      <xdr:row>8</xdr:row>
      <xdr:rowOff>83958</xdr:rowOff>
    </xdr:from>
    <xdr:to>
      <xdr:col>28</xdr:col>
      <xdr:colOff>417770</xdr:colOff>
      <xdr:row>12</xdr:row>
      <xdr:rowOff>5805</xdr:rowOff>
    </xdr:to>
    <xdr:sp macro="" textlink="Offered_salary">
      <xdr:nvSpPr>
        <xdr:cNvPr id="19" name="Rectangle 18">
          <a:extLst>
            <a:ext uri="{FF2B5EF4-FFF2-40B4-BE49-F238E27FC236}">
              <a16:creationId xmlns:a16="http://schemas.microsoft.com/office/drawing/2014/main" id="{4C3438E4-5D2E-5D63-6DC2-42A46B325873}"/>
            </a:ext>
          </a:extLst>
        </xdr:cNvPr>
        <xdr:cNvSpPr/>
      </xdr:nvSpPr>
      <xdr:spPr>
        <a:xfrm>
          <a:off x="14596279" y="1894182"/>
          <a:ext cx="2805372" cy="642145"/>
        </a:xfrm>
        <a:prstGeom prst="rect">
          <a:avLst/>
        </a:prstGeom>
        <a:solidFill>
          <a:sysClr val="window" lastClr="FFFFFF"/>
        </a:solidFill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C52C2056-905D-45EB-A4E8-858C3D63BB70}" type="TxLink">
            <a:rPr lang="en-US" sz="2500" b="0" i="0" u="none" strike="noStrike">
              <a:solidFill>
                <a:srgbClr val="000000"/>
              </a:solidFill>
              <a:latin typeface="Amasis MT Pro Black" panose="02040A04050005020304" pitchFamily="18" charset="0"/>
              <a:ea typeface="Calibri"/>
              <a:cs typeface="Calibri"/>
            </a:rPr>
            <a:pPr algn="ctr"/>
            <a:t> Rp11.002.462 </a:t>
          </a:fld>
          <a:endParaRPr lang="en-ID" sz="2500">
            <a:latin typeface="Amasis MT Pro Black" panose="02040A04050005020304" pitchFamily="18" charset="0"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DEBB3E-B8D4-47CF-830D-383EEECDA2AD}" name="Data" displayName="Data" ref="A1:S301" totalsRowShown="0">
  <autoFilter ref="A1:S301" xr:uid="{6FDEBB3E-B8D4-47CF-830D-383EEECDA2AD}"/>
  <tableColumns count="19">
    <tableColumn id="1" xr3:uid="{FB1F3DE6-E93E-483F-A9DF-AC9CC14C3683}" name="Candidate ID"/>
    <tableColumn id="2" xr3:uid="{E956D35B-47BD-46CF-A9E0-75A9BB79A48E}" name="Position"/>
    <tableColumn id="3" xr3:uid="{2BEED98C-0501-41B8-BC6E-1FEBE5095B84}" name="Department"/>
    <tableColumn id="4" xr3:uid="{9653D653-4431-4743-A5CA-66F3B2CFB97C}" name="Source"/>
    <tableColumn id="5" xr3:uid="{A5A844A8-63AD-4451-8E7C-2A00BF50DFE8}" name="Applied Date"/>
    <tableColumn id="19" xr3:uid="{E4EC4601-655E-42EB-B011-89071966E58D}" name="Applied Month" dataDxfId="0">
      <calculatedColumnFormula>TEXT(Data[[#This Row],[Applied Date]],"mmmm")</calculatedColumnFormula>
    </tableColumn>
    <tableColumn id="6" xr3:uid="{18AE6088-5A95-4821-9E9F-9D1AF79A78CA}" name="Screening"/>
    <tableColumn id="7" xr3:uid="{8A0D1DA0-2F30-4271-AB31-37C88C2E1934}" name="Interview 1"/>
    <tableColumn id="8" xr3:uid="{5190C009-D737-4818-B7BD-4CF65F91F5F1}" name="Interview 2"/>
    <tableColumn id="9" xr3:uid="{D0F74C16-4333-4D88-97C9-27CFA23091D8}" name="Offer"/>
    <tableColumn id="10" xr3:uid="{BEE793CE-2DA1-4690-92EE-D894425C9881}" name="Hired"/>
    <tableColumn id="11" xr3:uid="{39164104-F5FB-4528-9A6E-DAD186C7D7C0}" name="Days to Hire"/>
    <tableColumn id="12" xr3:uid="{63A0F476-8876-4DD2-A681-6B6AC8BFB2EB}" name="Recruiter"/>
    <tableColumn id="13" xr3:uid="{3B9789A8-690F-4AF5-9E02-B944CC4D6C58}" name="Gender"/>
    <tableColumn id="14" xr3:uid="{B9F21353-E4F2-43CD-BCFC-24466FA37900}" name="Age"/>
    <tableColumn id="15" xr3:uid="{A1A75B61-E64B-4A6E-961C-37C54D68C919}" name="Experience (Years)"/>
    <tableColumn id="16" xr3:uid="{E9CB2354-F701-4C15-906A-4676CABB4AAA}" name="Expected Salary"/>
    <tableColumn id="17" xr3:uid="{4DE98821-C00F-489C-827E-61E9BA78E7CF}" name="Offered Salary"/>
    <tableColumn id="18" xr3:uid="{E872F769-9A45-489A-96FB-A8F22EB14696}" name="Statu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01"/>
  <sheetViews>
    <sheetView topLeftCell="E1" workbookViewId="0">
      <selection activeCell="E20" sqref="A2:S301"/>
    </sheetView>
  </sheetViews>
  <sheetFormatPr defaultRowHeight="14.5" x14ac:dyDescent="0.35"/>
  <cols>
    <col min="1" max="1" width="13.6328125" customWidth="1"/>
    <col min="2" max="2" width="17.7265625" bestFit="1" customWidth="1"/>
    <col min="3" max="3" width="13.08984375" customWidth="1"/>
    <col min="4" max="4" width="16.08984375" bestFit="1" customWidth="1"/>
    <col min="5" max="6" width="13.6328125" customWidth="1"/>
    <col min="7" max="7" width="11.08984375" bestFit="1" customWidth="1"/>
    <col min="8" max="9" width="12.1796875" customWidth="1"/>
    <col min="12" max="12" width="13" customWidth="1"/>
    <col min="13" max="13" width="10.453125" customWidth="1"/>
    <col min="14" max="14" width="9" customWidth="1"/>
    <col min="16" max="16" width="18.1796875" customWidth="1"/>
    <col min="17" max="17" width="15.90625" customWidth="1"/>
    <col min="18" max="18" width="14.7265625" customWidth="1"/>
    <col min="19" max="19" width="12.9062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502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tr">
        <f>TEXT(Data[[#This Row],[Applied Date]],"mmmm")</f>
        <v>January</v>
      </c>
      <c r="G2" t="s">
        <v>23</v>
      </c>
      <c r="H2" t="s">
        <v>24</v>
      </c>
      <c r="I2" t="s">
        <v>24</v>
      </c>
      <c r="J2" t="s">
        <v>24</v>
      </c>
      <c r="K2" t="s">
        <v>24</v>
      </c>
      <c r="M2" t="s">
        <v>25</v>
      </c>
      <c r="N2" t="s">
        <v>26</v>
      </c>
      <c r="O2">
        <v>28</v>
      </c>
      <c r="P2">
        <v>8</v>
      </c>
      <c r="Q2">
        <v>14352000</v>
      </c>
      <c r="S2" t="s">
        <v>27</v>
      </c>
    </row>
    <row r="3" spans="1:19" x14ac:dyDescent="0.3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tr">
        <f>TEXT(Data[[#This Row],[Applied Date]],"mmmm")</f>
        <v>May</v>
      </c>
      <c r="G3" t="s">
        <v>33</v>
      </c>
      <c r="H3" t="s">
        <v>23</v>
      </c>
      <c r="I3" t="s">
        <v>24</v>
      </c>
      <c r="J3" t="s">
        <v>24</v>
      </c>
      <c r="K3" t="s">
        <v>24</v>
      </c>
      <c r="M3" t="s">
        <v>34</v>
      </c>
      <c r="N3" t="s">
        <v>26</v>
      </c>
      <c r="O3">
        <v>36</v>
      </c>
      <c r="P3">
        <v>10</v>
      </c>
      <c r="Q3">
        <v>16613000</v>
      </c>
      <c r="S3" t="s">
        <v>27</v>
      </c>
    </row>
    <row r="4" spans="1:19" x14ac:dyDescent="0.35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tr">
        <f>TEXT(Data[[#This Row],[Applied Date]],"mmmm")</f>
        <v>May</v>
      </c>
      <c r="G4" t="s">
        <v>33</v>
      </c>
      <c r="H4" t="s">
        <v>33</v>
      </c>
      <c r="I4" t="s">
        <v>33</v>
      </c>
      <c r="J4" t="s">
        <v>40</v>
      </c>
      <c r="K4" t="s">
        <v>40</v>
      </c>
      <c r="L4">
        <v>33</v>
      </c>
      <c r="M4" t="s">
        <v>41</v>
      </c>
      <c r="N4" t="s">
        <v>42</v>
      </c>
      <c r="O4">
        <v>28</v>
      </c>
      <c r="P4">
        <v>2</v>
      </c>
      <c r="Q4">
        <v>7325000</v>
      </c>
      <c r="R4">
        <v>7253000</v>
      </c>
      <c r="S4" t="s">
        <v>9</v>
      </c>
    </row>
    <row r="5" spans="1:19" x14ac:dyDescent="0.3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tr">
        <f>TEXT(Data[[#This Row],[Applied Date]],"mmmm")</f>
        <v>April</v>
      </c>
      <c r="G5" t="s">
        <v>33</v>
      </c>
      <c r="H5" t="s">
        <v>33</v>
      </c>
      <c r="I5" t="s">
        <v>23</v>
      </c>
      <c r="J5" t="s">
        <v>24</v>
      </c>
      <c r="K5" t="s">
        <v>24</v>
      </c>
      <c r="M5" t="s">
        <v>25</v>
      </c>
      <c r="N5" t="s">
        <v>42</v>
      </c>
      <c r="O5">
        <v>30</v>
      </c>
      <c r="P5">
        <v>4</v>
      </c>
      <c r="Q5">
        <v>10439000</v>
      </c>
      <c r="S5" t="s">
        <v>27</v>
      </c>
    </row>
    <row r="6" spans="1:19" x14ac:dyDescent="0.35">
      <c r="A6" t="s">
        <v>48</v>
      </c>
      <c r="B6" t="s">
        <v>49</v>
      </c>
      <c r="C6" t="s">
        <v>50</v>
      </c>
      <c r="D6" t="s">
        <v>51</v>
      </c>
      <c r="E6" t="s">
        <v>52</v>
      </c>
      <c r="F6" t="str">
        <f>TEXT(Data[[#This Row],[Applied Date]],"mmmm")</f>
        <v>June</v>
      </c>
      <c r="G6" t="s">
        <v>33</v>
      </c>
      <c r="H6" t="s">
        <v>33</v>
      </c>
      <c r="I6" t="s">
        <v>33</v>
      </c>
      <c r="J6" t="s">
        <v>40</v>
      </c>
      <c r="K6" t="s">
        <v>40</v>
      </c>
      <c r="L6">
        <v>18</v>
      </c>
      <c r="M6" t="s">
        <v>41</v>
      </c>
      <c r="N6" t="s">
        <v>42</v>
      </c>
      <c r="O6">
        <v>36</v>
      </c>
      <c r="P6">
        <v>2</v>
      </c>
      <c r="Q6">
        <v>7916000</v>
      </c>
      <c r="R6">
        <v>7747000</v>
      </c>
      <c r="S6" t="s">
        <v>9</v>
      </c>
    </row>
    <row r="7" spans="1:19" x14ac:dyDescent="0.35">
      <c r="A7" t="s">
        <v>53</v>
      </c>
      <c r="B7" t="s">
        <v>29</v>
      </c>
      <c r="C7" t="s">
        <v>30</v>
      </c>
      <c r="D7" t="s">
        <v>51</v>
      </c>
      <c r="E7" t="s">
        <v>54</v>
      </c>
      <c r="F7" t="str">
        <f>TEXT(Data[[#This Row],[Applied Date]],"mmmm")</f>
        <v>February</v>
      </c>
      <c r="G7" t="s">
        <v>33</v>
      </c>
      <c r="H7" t="s">
        <v>33</v>
      </c>
      <c r="I7" t="s">
        <v>33</v>
      </c>
      <c r="J7" t="s">
        <v>40</v>
      </c>
      <c r="K7" t="s">
        <v>40</v>
      </c>
      <c r="L7">
        <v>22</v>
      </c>
      <c r="M7" t="s">
        <v>25</v>
      </c>
      <c r="N7" t="s">
        <v>26</v>
      </c>
      <c r="O7">
        <v>28</v>
      </c>
      <c r="P7">
        <v>5</v>
      </c>
      <c r="Q7">
        <v>11059000</v>
      </c>
      <c r="R7">
        <v>10593000</v>
      </c>
      <c r="S7" t="s">
        <v>9</v>
      </c>
    </row>
    <row r="8" spans="1:19" x14ac:dyDescent="0.35">
      <c r="A8" t="s">
        <v>55</v>
      </c>
      <c r="B8" t="s">
        <v>44</v>
      </c>
      <c r="C8" t="s">
        <v>45</v>
      </c>
      <c r="D8" t="s">
        <v>51</v>
      </c>
      <c r="E8" t="s">
        <v>56</v>
      </c>
      <c r="F8" t="str">
        <f>TEXT(Data[[#This Row],[Applied Date]],"mmmm")</f>
        <v>February</v>
      </c>
      <c r="G8" t="s">
        <v>23</v>
      </c>
      <c r="H8" t="s">
        <v>24</v>
      </c>
      <c r="I8" t="s">
        <v>24</v>
      </c>
      <c r="J8" t="s">
        <v>24</v>
      </c>
      <c r="K8" t="s">
        <v>24</v>
      </c>
      <c r="M8" t="s">
        <v>57</v>
      </c>
      <c r="N8" t="s">
        <v>26</v>
      </c>
      <c r="O8">
        <v>26</v>
      </c>
      <c r="P8">
        <v>5</v>
      </c>
      <c r="Q8">
        <v>11176000</v>
      </c>
      <c r="S8" t="s">
        <v>27</v>
      </c>
    </row>
    <row r="9" spans="1:19" x14ac:dyDescent="0.35">
      <c r="A9" t="s">
        <v>58</v>
      </c>
      <c r="B9" t="s">
        <v>44</v>
      </c>
      <c r="C9" t="s">
        <v>45</v>
      </c>
      <c r="D9" t="s">
        <v>51</v>
      </c>
      <c r="E9" t="s">
        <v>59</v>
      </c>
      <c r="F9" t="str">
        <f>TEXT(Data[[#This Row],[Applied Date]],"mmmm")</f>
        <v>June</v>
      </c>
      <c r="G9" t="s">
        <v>23</v>
      </c>
      <c r="H9" t="s">
        <v>24</v>
      </c>
      <c r="I9" t="s">
        <v>24</v>
      </c>
      <c r="J9" t="s">
        <v>24</v>
      </c>
      <c r="K9" t="s">
        <v>24</v>
      </c>
      <c r="M9" t="s">
        <v>57</v>
      </c>
      <c r="N9" t="s">
        <v>42</v>
      </c>
      <c r="O9">
        <v>22</v>
      </c>
      <c r="P9">
        <v>7</v>
      </c>
      <c r="Q9">
        <v>13355000</v>
      </c>
      <c r="S9" t="s">
        <v>27</v>
      </c>
    </row>
    <row r="10" spans="1:19" x14ac:dyDescent="0.35">
      <c r="A10" t="s">
        <v>60</v>
      </c>
      <c r="B10" t="s">
        <v>49</v>
      </c>
      <c r="C10" t="s">
        <v>50</v>
      </c>
      <c r="D10" t="s">
        <v>38</v>
      </c>
      <c r="E10" t="s">
        <v>61</v>
      </c>
      <c r="F10" t="str">
        <f>TEXT(Data[[#This Row],[Applied Date]],"mmmm")</f>
        <v>March</v>
      </c>
      <c r="G10" t="s">
        <v>33</v>
      </c>
      <c r="H10" t="s">
        <v>33</v>
      </c>
      <c r="I10" t="s">
        <v>33</v>
      </c>
      <c r="J10" t="s">
        <v>40</v>
      </c>
      <c r="K10" t="s">
        <v>62</v>
      </c>
      <c r="L10">
        <v>28</v>
      </c>
      <c r="M10" t="s">
        <v>63</v>
      </c>
      <c r="N10" t="s">
        <v>42</v>
      </c>
      <c r="O10">
        <v>36</v>
      </c>
      <c r="P10">
        <v>5</v>
      </c>
      <c r="Q10">
        <v>10634000</v>
      </c>
      <c r="S10" t="s">
        <v>64</v>
      </c>
    </row>
    <row r="11" spans="1:19" x14ac:dyDescent="0.35">
      <c r="A11" t="s">
        <v>65</v>
      </c>
      <c r="B11" t="s">
        <v>66</v>
      </c>
      <c r="C11" t="s">
        <v>67</v>
      </c>
      <c r="D11" t="s">
        <v>51</v>
      </c>
      <c r="E11" t="s">
        <v>68</v>
      </c>
      <c r="F11" t="str">
        <f>TEXT(Data[[#This Row],[Applied Date]],"mmmm")</f>
        <v>June</v>
      </c>
      <c r="G11" t="s">
        <v>23</v>
      </c>
      <c r="H11" t="s">
        <v>24</v>
      </c>
      <c r="I11" t="s">
        <v>24</v>
      </c>
      <c r="J11" t="s">
        <v>24</v>
      </c>
      <c r="K11" t="s">
        <v>24</v>
      </c>
      <c r="M11" t="s">
        <v>41</v>
      </c>
      <c r="N11" t="s">
        <v>42</v>
      </c>
      <c r="O11">
        <v>32</v>
      </c>
      <c r="P11">
        <v>9</v>
      </c>
      <c r="Q11">
        <v>15854000</v>
      </c>
      <c r="S11" t="s">
        <v>27</v>
      </c>
    </row>
    <row r="12" spans="1:19" x14ac:dyDescent="0.35">
      <c r="A12" t="s">
        <v>69</v>
      </c>
      <c r="B12" t="s">
        <v>66</v>
      </c>
      <c r="C12" t="s">
        <v>67</v>
      </c>
      <c r="D12" t="s">
        <v>31</v>
      </c>
      <c r="E12" t="s">
        <v>70</v>
      </c>
      <c r="F12" t="str">
        <f>TEXT(Data[[#This Row],[Applied Date]],"mmmm")</f>
        <v>February</v>
      </c>
      <c r="G12" t="s">
        <v>33</v>
      </c>
      <c r="H12" t="s">
        <v>33</v>
      </c>
      <c r="I12" t="s">
        <v>23</v>
      </c>
      <c r="J12" t="s">
        <v>24</v>
      </c>
      <c r="K12" t="s">
        <v>24</v>
      </c>
      <c r="M12" t="s">
        <v>41</v>
      </c>
      <c r="N12" t="s">
        <v>42</v>
      </c>
      <c r="O12">
        <v>40</v>
      </c>
      <c r="P12">
        <v>5</v>
      </c>
      <c r="Q12">
        <v>11446000</v>
      </c>
      <c r="S12" t="s">
        <v>27</v>
      </c>
    </row>
    <row r="13" spans="1:19" x14ac:dyDescent="0.35">
      <c r="A13" t="s">
        <v>71</v>
      </c>
      <c r="B13" t="s">
        <v>72</v>
      </c>
      <c r="C13" t="s">
        <v>37</v>
      </c>
      <c r="D13" t="s">
        <v>46</v>
      </c>
      <c r="E13" t="s">
        <v>73</v>
      </c>
      <c r="F13" t="str">
        <f>TEXT(Data[[#This Row],[Applied Date]],"mmmm")</f>
        <v>February</v>
      </c>
      <c r="G13" t="s">
        <v>33</v>
      </c>
      <c r="H13" t="s">
        <v>23</v>
      </c>
      <c r="I13" t="s">
        <v>24</v>
      </c>
      <c r="J13" t="s">
        <v>24</v>
      </c>
      <c r="K13" t="s">
        <v>24</v>
      </c>
      <c r="M13" t="s">
        <v>63</v>
      </c>
      <c r="N13" t="s">
        <v>42</v>
      </c>
      <c r="O13">
        <v>32</v>
      </c>
      <c r="P13">
        <v>3</v>
      </c>
      <c r="Q13">
        <v>8420000</v>
      </c>
      <c r="S13" t="s">
        <v>27</v>
      </c>
    </row>
    <row r="14" spans="1:19" x14ac:dyDescent="0.35">
      <c r="A14" t="s">
        <v>74</v>
      </c>
      <c r="B14" t="s">
        <v>36</v>
      </c>
      <c r="C14" t="s">
        <v>37</v>
      </c>
      <c r="D14" t="s">
        <v>31</v>
      </c>
      <c r="E14" t="s">
        <v>75</v>
      </c>
      <c r="F14" t="str">
        <f>TEXT(Data[[#This Row],[Applied Date]],"mmmm")</f>
        <v>May</v>
      </c>
      <c r="G14" t="s">
        <v>23</v>
      </c>
      <c r="H14" t="s">
        <v>24</v>
      </c>
      <c r="I14" t="s">
        <v>24</v>
      </c>
      <c r="J14" t="s">
        <v>24</v>
      </c>
      <c r="K14" t="s">
        <v>24</v>
      </c>
      <c r="M14" t="s">
        <v>25</v>
      </c>
      <c r="N14" t="s">
        <v>26</v>
      </c>
      <c r="O14">
        <v>23</v>
      </c>
      <c r="P14">
        <v>10</v>
      </c>
      <c r="Q14">
        <v>16562000</v>
      </c>
      <c r="S14" t="s">
        <v>27</v>
      </c>
    </row>
    <row r="15" spans="1:19" x14ac:dyDescent="0.35">
      <c r="A15" t="s">
        <v>76</v>
      </c>
      <c r="B15" t="s">
        <v>29</v>
      </c>
      <c r="C15" t="s">
        <v>30</v>
      </c>
      <c r="D15" t="s">
        <v>38</v>
      </c>
      <c r="E15" t="s">
        <v>77</v>
      </c>
      <c r="F15" t="str">
        <f>TEXT(Data[[#This Row],[Applied Date]],"mmmm")</f>
        <v>May</v>
      </c>
      <c r="G15" t="s">
        <v>33</v>
      </c>
      <c r="H15" t="s">
        <v>33</v>
      </c>
      <c r="I15" t="s">
        <v>33</v>
      </c>
      <c r="J15" t="s">
        <v>40</v>
      </c>
      <c r="K15" t="s">
        <v>40</v>
      </c>
      <c r="L15">
        <v>12</v>
      </c>
      <c r="M15" t="s">
        <v>41</v>
      </c>
      <c r="N15" t="s">
        <v>26</v>
      </c>
      <c r="O15">
        <v>24</v>
      </c>
      <c r="P15">
        <v>0</v>
      </c>
      <c r="Q15">
        <v>4992000</v>
      </c>
      <c r="R15">
        <v>4922000</v>
      </c>
      <c r="S15" t="s">
        <v>9</v>
      </c>
    </row>
    <row r="16" spans="1:19" x14ac:dyDescent="0.35">
      <c r="A16" t="s">
        <v>78</v>
      </c>
      <c r="B16" t="s">
        <v>49</v>
      </c>
      <c r="C16" t="s">
        <v>50</v>
      </c>
      <c r="D16" t="s">
        <v>79</v>
      </c>
      <c r="E16" t="s">
        <v>80</v>
      </c>
      <c r="F16" t="str">
        <f>TEXT(Data[[#This Row],[Applied Date]],"mmmm")</f>
        <v>March</v>
      </c>
      <c r="G16" t="s">
        <v>23</v>
      </c>
      <c r="H16" t="s">
        <v>24</v>
      </c>
      <c r="I16" t="s">
        <v>24</v>
      </c>
      <c r="J16" t="s">
        <v>24</v>
      </c>
      <c r="K16" t="s">
        <v>24</v>
      </c>
      <c r="M16" t="s">
        <v>63</v>
      </c>
      <c r="N16" t="s">
        <v>42</v>
      </c>
      <c r="O16">
        <v>31</v>
      </c>
      <c r="P16">
        <v>10</v>
      </c>
      <c r="Q16">
        <v>16966000</v>
      </c>
      <c r="S16" t="s">
        <v>27</v>
      </c>
    </row>
    <row r="17" spans="1:19" x14ac:dyDescent="0.35">
      <c r="A17" t="s">
        <v>81</v>
      </c>
      <c r="B17" t="s">
        <v>82</v>
      </c>
      <c r="C17" t="s">
        <v>83</v>
      </c>
      <c r="D17" t="s">
        <v>46</v>
      </c>
      <c r="E17" t="s">
        <v>84</v>
      </c>
      <c r="F17" t="str">
        <f>TEXT(Data[[#This Row],[Applied Date]],"mmmm")</f>
        <v>May</v>
      </c>
      <c r="G17" t="s">
        <v>33</v>
      </c>
      <c r="H17" t="s">
        <v>33</v>
      </c>
      <c r="I17" t="s">
        <v>33</v>
      </c>
      <c r="J17" t="s">
        <v>40</v>
      </c>
      <c r="K17" t="s">
        <v>40</v>
      </c>
      <c r="L17">
        <v>18</v>
      </c>
      <c r="M17" t="s">
        <v>57</v>
      </c>
      <c r="N17" t="s">
        <v>26</v>
      </c>
      <c r="O17">
        <v>34</v>
      </c>
      <c r="P17">
        <v>6</v>
      </c>
      <c r="Q17">
        <v>12467000</v>
      </c>
      <c r="R17">
        <v>12103000</v>
      </c>
      <c r="S17" t="s">
        <v>9</v>
      </c>
    </row>
    <row r="18" spans="1:19" x14ac:dyDescent="0.35">
      <c r="A18" t="s">
        <v>85</v>
      </c>
      <c r="B18" t="s">
        <v>49</v>
      </c>
      <c r="C18" t="s">
        <v>50</v>
      </c>
      <c r="D18" t="s">
        <v>51</v>
      </c>
      <c r="E18" t="s">
        <v>86</v>
      </c>
      <c r="F18" t="str">
        <f>TEXT(Data[[#This Row],[Applied Date]],"mmmm")</f>
        <v>April</v>
      </c>
      <c r="G18" t="s">
        <v>33</v>
      </c>
      <c r="H18" t="s">
        <v>23</v>
      </c>
      <c r="I18" t="s">
        <v>24</v>
      </c>
      <c r="J18" t="s">
        <v>24</v>
      </c>
      <c r="K18" t="s">
        <v>24</v>
      </c>
      <c r="M18" t="s">
        <v>63</v>
      </c>
      <c r="N18" t="s">
        <v>26</v>
      </c>
      <c r="O18">
        <v>32</v>
      </c>
      <c r="P18">
        <v>1</v>
      </c>
      <c r="Q18">
        <v>6639000</v>
      </c>
      <c r="S18" t="s">
        <v>27</v>
      </c>
    </row>
    <row r="19" spans="1:19" x14ac:dyDescent="0.35">
      <c r="A19" t="s">
        <v>87</v>
      </c>
      <c r="B19" t="s">
        <v>82</v>
      </c>
      <c r="C19" t="s">
        <v>83</v>
      </c>
      <c r="D19" t="s">
        <v>51</v>
      </c>
      <c r="E19" t="s">
        <v>88</v>
      </c>
      <c r="F19" t="str">
        <f>TEXT(Data[[#This Row],[Applied Date]],"mmmm")</f>
        <v>February</v>
      </c>
      <c r="G19" t="s">
        <v>23</v>
      </c>
      <c r="H19" t="s">
        <v>24</v>
      </c>
      <c r="I19" t="s">
        <v>24</v>
      </c>
      <c r="J19" t="s">
        <v>24</v>
      </c>
      <c r="K19" t="s">
        <v>24</v>
      </c>
      <c r="M19" t="s">
        <v>57</v>
      </c>
      <c r="N19" t="s">
        <v>42</v>
      </c>
      <c r="O19">
        <v>30</v>
      </c>
      <c r="P19">
        <v>7</v>
      </c>
      <c r="Q19">
        <v>14090000</v>
      </c>
      <c r="S19" t="s">
        <v>27</v>
      </c>
    </row>
    <row r="20" spans="1:19" x14ac:dyDescent="0.35">
      <c r="A20" t="s">
        <v>89</v>
      </c>
      <c r="B20" t="s">
        <v>44</v>
      </c>
      <c r="C20" t="s">
        <v>45</v>
      </c>
      <c r="D20" t="s">
        <v>46</v>
      </c>
      <c r="E20" t="s">
        <v>90</v>
      </c>
      <c r="F20" t="str">
        <f>TEXT(Data[[#This Row],[Applied Date]],"mmmm")</f>
        <v>January</v>
      </c>
      <c r="G20" t="s">
        <v>33</v>
      </c>
      <c r="H20" t="s">
        <v>33</v>
      </c>
      <c r="I20" t="s">
        <v>33</v>
      </c>
      <c r="J20" t="s">
        <v>40</v>
      </c>
      <c r="K20" t="s">
        <v>40</v>
      </c>
      <c r="L20">
        <v>31</v>
      </c>
      <c r="M20" t="s">
        <v>25</v>
      </c>
      <c r="N20" t="s">
        <v>26</v>
      </c>
      <c r="O20">
        <v>30</v>
      </c>
      <c r="P20">
        <v>8</v>
      </c>
      <c r="Q20">
        <v>14491000</v>
      </c>
      <c r="R20">
        <v>14343000</v>
      </c>
      <c r="S20" t="s">
        <v>9</v>
      </c>
    </row>
    <row r="21" spans="1:19" x14ac:dyDescent="0.35">
      <c r="A21" t="s">
        <v>91</v>
      </c>
      <c r="B21" t="s">
        <v>82</v>
      </c>
      <c r="C21" t="s">
        <v>83</v>
      </c>
      <c r="D21" t="s">
        <v>79</v>
      </c>
      <c r="E21" t="s">
        <v>92</v>
      </c>
      <c r="F21" t="str">
        <f>TEXT(Data[[#This Row],[Applied Date]],"mmmm")</f>
        <v>April</v>
      </c>
      <c r="G21" t="s">
        <v>33</v>
      </c>
      <c r="H21" t="s">
        <v>33</v>
      </c>
      <c r="I21" t="s">
        <v>33</v>
      </c>
      <c r="J21" t="s">
        <v>40</v>
      </c>
      <c r="K21" t="s">
        <v>62</v>
      </c>
      <c r="L21">
        <v>20</v>
      </c>
      <c r="M21" t="s">
        <v>34</v>
      </c>
      <c r="N21" t="s">
        <v>42</v>
      </c>
      <c r="O21">
        <v>30</v>
      </c>
      <c r="P21">
        <v>9</v>
      </c>
      <c r="Q21">
        <v>16215000</v>
      </c>
      <c r="S21" t="s">
        <v>64</v>
      </c>
    </row>
    <row r="22" spans="1:19" x14ac:dyDescent="0.35">
      <c r="A22" t="s">
        <v>93</v>
      </c>
      <c r="B22" t="s">
        <v>82</v>
      </c>
      <c r="C22" t="s">
        <v>83</v>
      </c>
      <c r="D22" t="s">
        <v>21</v>
      </c>
      <c r="E22" t="s">
        <v>94</v>
      </c>
      <c r="F22" t="str">
        <f>TEXT(Data[[#This Row],[Applied Date]],"mmmm")</f>
        <v>May</v>
      </c>
      <c r="G22" t="s">
        <v>33</v>
      </c>
      <c r="H22" t="s">
        <v>33</v>
      </c>
      <c r="I22" t="s">
        <v>33</v>
      </c>
      <c r="J22" t="s">
        <v>40</v>
      </c>
      <c r="K22" t="s">
        <v>62</v>
      </c>
      <c r="L22">
        <v>25</v>
      </c>
      <c r="M22" t="s">
        <v>25</v>
      </c>
      <c r="N22" t="s">
        <v>26</v>
      </c>
      <c r="O22">
        <v>38</v>
      </c>
      <c r="P22">
        <v>5</v>
      </c>
      <c r="Q22">
        <v>10811000</v>
      </c>
      <c r="S22" t="s">
        <v>64</v>
      </c>
    </row>
    <row r="23" spans="1:19" x14ac:dyDescent="0.35">
      <c r="A23" t="s">
        <v>95</v>
      </c>
      <c r="B23" t="s">
        <v>72</v>
      </c>
      <c r="C23" t="s">
        <v>37</v>
      </c>
      <c r="D23" t="s">
        <v>51</v>
      </c>
      <c r="E23" t="s">
        <v>39</v>
      </c>
      <c r="F23" t="str">
        <f>TEXT(Data[[#This Row],[Applied Date]],"mmmm")</f>
        <v>May</v>
      </c>
      <c r="G23" t="s">
        <v>23</v>
      </c>
      <c r="H23" t="s">
        <v>24</v>
      </c>
      <c r="I23" t="s">
        <v>24</v>
      </c>
      <c r="J23" t="s">
        <v>24</v>
      </c>
      <c r="K23" t="s">
        <v>24</v>
      </c>
      <c r="M23" t="s">
        <v>41</v>
      </c>
      <c r="N23" t="s">
        <v>42</v>
      </c>
      <c r="O23">
        <v>31</v>
      </c>
      <c r="P23">
        <v>3</v>
      </c>
      <c r="Q23">
        <v>8745000</v>
      </c>
      <c r="S23" t="s">
        <v>27</v>
      </c>
    </row>
    <row r="24" spans="1:19" x14ac:dyDescent="0.35">
      <c r="A24" t="s">
        <v>96</v>
      </c>
      <c r="B24" t="s">
        <v>49</v>
      </c>
      <c r="C24" t="s">
        <v>50</v>
      </c>
      <c r="D24" t="s">
        <v>38</v>
      </c>
      <c r="E24" t="s">
        <v>97</v>
      </c>
      <c r="F24" t="str">
        <f>TEXT(Data[[#This Row],[Applied Date]],"mmmm")</f>
        <v>June</v>
      </c>
      <c r="G24" t="s">
        <v>33</v>
      </c>
      <c r="H24" t="s">
        <v>23</v>
      </c>
      <c r="I24" t="s">
        <v>24</v>
      </c>
      <c r="J24" t="s">
        <v>24</v>
      </c>
      <c r="K24" t="s">
        <v>24</v>
      </c>
      <c r="M24" t="s">
        <v>25</v>
      </c>
      <c r="N24" t="s">
        <v>42</v>
      </c>
      <c r="O24">
        <v>35</v>
      </c>
      <c r="P24">
        <v>10</v>
      </c>
      <c r="Q24">
        <v>16969000</v>
      </c>
      <c r="S24" t="s">
        <v>27</v>
      </c>
    </row>
    <row r="25" spans="1:19" x14ac:dyDescent="0.35">
      <c r="A25" t="s">
        <v>98</v>
      </c>
      <c r="B25" t="s">
        <v>82</v>
      </c>
      <c r="C25" t="s">
        <v>83</v>
      </c>
      <c r="D25" t="s">
        <v>79</v>
      </c>
      <c r="E25" t="s">
        <v>99</v>
      </c>
      <c r="F25" t="str">
        <f>TEXT(Data[[#This Row],[Applied Date]],"mmmm")</f>
        <v>January</v>
      </c>
      <c r="G25" t="s">
        <v>23</v>
      </c>
      <c r="H25" t="s">
        <v>24</v>
      </c>
      <c r="I25" t="s">
        <v>24</v>
      </c>
      <c r="J25" t="s">
        <v>24</v>
      </c>
      <c r="K25" t="s">
        <v>24</v>
      </c>
      <c r="M25" t="s">
        <v>34</v>
      </c>
      <c r="N25" t="s">
        <v>26</v>
      </c>
      <c r="O25">
        <v>21</v>
      </c>
      <c r="P25">
        <v>9</v>
      </c>
      <c r="Q25">
        <v>16448000</v>
      </c>
      <c r="S25" t="s">
        <v>27</v>
      </c>
    </row>
    <row r="26" spans="1:19" x14ac:dyDescent="0.35">
      <c r="A26" t="s">
        <v>100</v>
      </c>
      <c r="B26" t="s">
        <v>36</v>
      </c>
      <c r="C26" t="s">
        <v>37</v>
      </c>
      <c r="D26" t="s">
        <v>31</v>
      </c>
      <c r="E26" t="s">
        <v>101</v>
      </c>
      <c r="F26" t="str">
        <f>TEXT(Data[[#This Row],[Applied Date]],"mmmm")</f>
        <v>April</v>
      </c>
      <c r="G26" t="s">
        <v>23</v>
      </c>
      <c r="H26" t="s">
        <v>24</v>
      </c>
      <c r="I26" t="s">
        <v>24</v>
      </c>
      <c r="J26" t="s">
        <v>24</v>
      </c>
      <c r="K26" t="s">
        <v>24</v>
      </c>
      <c r="M26" t="s">
        <v>57</v>
      </c>
      <c r="N26" t="s">
        <v>42</v>
      </c>
      <c r="O26">
        <v>27</v>
      </c>
      <c r="P26">
        <v>3</v>
      </c>
      <c r="Q26">
        <v>8367000</v>
      </c>
      <c r="S26" t="s">
        <v>27</v>
      </c>
    </row>
    <row r="27" spans="1:19" x14ac:dyDescent="0.35">
      <c r="A27" t="s">
        <v>102</v>
      </c>
      <c r="B27" t="s">
        <v>19</v>
      </c>
      <c r="C27" t="s">
        <v>20</v>
      </c>
      <c r="D27" t="s">
        <v>38</v>
      </c>
      <c r="E27" t="s">
        <v>103</v>
      </c>
      <c r="F27" t="str">
        <f>TEXT(Data[[#This Row],[Applied Date]],"mmmm")</f>
        <v>May</v>
      </c>
      <c r="G27" t="s">
        <v>23</v>
      </c>
      <c r="H27" t="s">
        <v>24</v>
      </c>
      <c r="I27" t="s">
        <v>24</v>
      </c>
      <c r="J27" t="s">
        <v>24</v>
      </c>
      <c r="K27" t="s">
        <v>24</v>
      </c>
      <c r="M27" t="s">
        <v>34</v>
      </c>
      <c r="N27" t="s">
        <v>42</v>
      </c>
      <c r="O27">
        <v>33</v>
      </c>
      <c r="P27">
        <v>0</v>
      </c>
      <c r="Q27">
        <v>5764000</v>
      </c>
      <c r="S27" t="s">
        <v>27</v>
      </c>
    </row>
    <row r="28" spans="1:19" x14ac:dyDescent="0.35">
      <c r="A28" t="s">
        <v>104</v>
      </c>
      <c r="B28" t="s">
        <v>82</v>
      </c>
      <c r="C28" t="s">
        <v>83</v>
      </c>
      <c r="D28" t="s">
        <v>38</v>
      </c>
      <c r="E28" t="s">
        <v>105</v>
      </c>
      <c r="F28" t="str">
        <f>TEXT(Data[[#This Row],[Applied Date]],"mmmm")</f>
        <v>February</v>
      </c>
      <c r="G28" t="s">
        <v>33</v>
      </c>
      <c r="H28" t="s">
        <v>33</v>
      </c>
      <c r="I28" t="s">
        <v>33</v>
      </c>
      <c r="J28" t="s">
        <v>40</v>
      </c>
      <c r="K28" t="s">
        <v>40</v>
      </c>
      <c r="L28">
        <v>28</v>
      </c>
      <c r="M28" t="s">
        <v>63</v>
      </c>
      <c r="N28" t="s">
        <v>42</v>
      </c>
      <c r="O28">
        <v>29</v>
      </c>
      <c r="P28">
        <v>3</v>
      </c>
      <c r="Q28">
        <v>8490000</v>
      </c>
      <c r="R28">
        <v>8238000</v>
      </c>
      <c r="S28" t="s">
        <v>9</v>
      </c>
    </row>
    <row r="29" spans="1:19" x14ac:dyDescent="0.35">
      <c r="A29" t="s">
        <v>106</v>
      </c>
      <c r="B29" t="s">
        <v>82</v>
      </c>
      <c r="C29" t="s">
        <v>83</v>
      </c>
      <c r="D29" t="s">
        <v>46</v>
      </c>
      <c r="E29" t="s">
        <v>107</v>
      </c>
      <c r="F29" t="str">
        <f>TEXT(Data[[#This Row],[Applied Date]],"mmmm")</f>
        <v>May</v>
      </c>
      <c r="G29" t="s">
        <v>23</v>
      </c>
      <c r="H29" t="s">
        <v>24</v>
      </c>
      <c r="I29" t="s">
        <v>24</v>
      </c>
      <c r="J29" t="s">
        <v>24</v>
      </c>
      <c r="K29" t="s">
        <v>24</v>
      </c>
      <c r="M29" t="s">
        <v>34</v>
      </c>
      <c r="N29" t="s">
        <v>42</v>
      </c>
      <c r="O29">
        <v>35</v>
      </c>
      <c r="P29">
        <v>4</v>
      </c>
      <c r="Q29">
        <v>10477000</v>
      </c>
      <c r="S29" t="s">
        <v>27</v>
      </c>
    </row>
    <row r="30" spans="1:19" x14ac:dyDescent="0.35">
      <c r="A30" t="s">
        <v>108</v>
      </c>
      <c r="B30" t="s">
        <v>29</v>
      </c>
      <c r="C30" t="s">
        <v>30</v>
      </c>
      <c r="D30" t="s">
        <v>79</v>
      </c>
      <c r="E30" t="s">
        <v>109</v>
      </c>
      <c r="F30" t="str">
        <f>TEXT(Data[[#This Row],[Applied Date]],"mmmm")</f>
        <v>June</v>
      </c>
      <c r="G30" t="s">
        <v>33</v>
      </c>
      <c r="H30" t="s">
        <v>33</v>
      </c>
      <c r="I30" t="s">
        <v>33</v>
      </c>
      <c r="J30" t="s">
        <v>40</v>
      </c>
      <c r="K30" t="s">
        <v>40</v>
      </c>
      <c r="L30">
        <v>28</v>
      </c>
      <c r="M30" t="s">
        <v>63</v>
      </c>
      <c r="N30" t="s">
        <v>42</v>
      </c>
      <c r="O30">
        <v>34</v>
      </c>
      <c r="P30">
        <v>9</v>
      </c>
      <c r="Q30">
        <v>16220000</v>
      </c>
      <c r="R30">
        <v>15483000</v>
      </c>
      <c r="S30" t="s">
        <v>9</v>
      </c>
    </row>
    <row r="31" spans="1:19" x14ac:dyDescent="0.35">
      <c r="A31" t="s">
        <v>110</v>
      </c>
      <c r="B31" t="s">
        <v>66</v>
      </c>
      <c r="C31" t="s">
        <v>67</v>
      </c>
      <c r="D31" t="s">
        <v>46</v>
      </c>
      <c r="E31" t="s">
        <v>111</v>
      </c>
      <c r="F31" t="str">
        <f>TEXT(Data[[#This Row],[Applied Date]],"mmmm")</f>
        <v>April</v>
      </c>
      <c r="G31" t="s">
        <v>33</v>
      </c>
      <c r="H31" t="s">
        <v>33</v>
      </c>
      <c r="I31" t="s">
        <v>23</v>
      </c>
      <c r="J31" t="s">
        <v>24</v>
      </c>
      <c r="K31" t="s">
        <v>24</v>
      </c>
      <c r="M31" t="s">
        <v>25</v>
      </c>
      <c r="N31" t="s">
        <v>26</v>
      </c>
      <c r="O31">
        <v>27</v>
      </c>
      <c r="P31">
        <v>9</v>
      </c>
      <c r="Q31">
        <v>15432000</v>
      </c>
      <c r="S31" t="s">
        <v>27</v>
      </c>
    </row>
    <row r="32" spans="1:19" x14ac:dyDescent="0.35">
      <c r="A32" t="s">
        <v>112</v>
      </c>
      <c r="B32" t="s">
        <v>82</v>
      </c>
      <c r="C32" t="s">
        <v>83</v>
      </c>
      <c r="D32" t="s">
        <v>31</v>
      </c>
      <c r="E32" t="s">
        <v>59</v>
      </c>
      <c r="F32" t="str">
        <f>TEXT(Data[[#This Row],[Applied Date]],"mmmm")</f>
        <v>June</v>
      </c>
      <c r="G32" t="s">
        <v>33</v>
      </c>
      <c r="H32" t="s">
        <v>33</v>
      </c>
      <c r="I32" t="s">
        <v>33</v>
      </c>
      <c r="J32" t="s">
        <v>40</v>
      </c>
      <c r="K32" t="s">
        <v>40</v>
      </c>
      <c r="L32">
        <v>22</v>
      </c>
      <c r="M32" t="s">
        <v>25</v>
      </c>
      <c r="N32" t="s">
        <v>42</v>
      </c>
      <c r="O32">
        <v>33</v>
      </c>
      <c r="P32">
        <v>0</v>
      </c>
      <c r="Q32">
        <v>5546000</v>
      </c>
      <c r="R32">
        <v>5286000</v>
      </c>
      <c r="S32" t="s">
        <v>9</v>
      </c>
    </row>
    <row r="33" spans="1:19" x14ac:dyDescent="0.35">
      <c r="A33" t="s">
        <v>113</v>
      </c>
      <c r="B33" t="s">
        <v>82</v>
      </c>
      <c r="C33" t="s">
        <v>83</v>
      </c>
      <c r="D33" t="s">
        <v>38</v>
      </c>
      <c r="E33" t="s">
        <v>73</v>
      </c>
      <c r="F33" t="str">
        <f>TEXT(Data[[#This Row],[Applied Date]],"mmmm")</f>
        <v>February</v>
      </c>
      <c r="G33" t="s">
        <v>33</v>
      </c>
      <c r="H33" t="s">
        <v>33</v>
      </c>
      <c r="I33" t="s">
        <v>33</v>
      </c>
      <c r="J33" t="s">
        <v>40</v>
      </c>
      <c r="K33" t="s">
        <v>40</v>
      </c>
      <c r="L33">
        <v>33</v>
      </c>
      <c r="M33" t="s">
        <v>41</v>
      </c>
      <c r="N33" t="s">
        <v>26</v>
      </c>
      <c r="O33">
        <v>34</v>
      </c>
      <c r="P33">
        <v>5</v>
      </c>
      <c r="Q33">
        <v>11068000</v>
      </c>
      <c r="R33">
        <v>11007000</v>
      </c>
      <c r="S33" t="s">
        <v>9</v>
      </c>
    </row>
    <row r="34" spans="1:19" x14ac:dyDescent="0.35">
      <c r="A34" t="s">
        <v>114</v>
      </c>
      <c r="B34" t="s">
        <v>44</v>
      </c>
      <c r="C34" t="s">
        <v>45</v>
      </c>
      <c r="D34" t="s">
        <v>21</v>
      </c>
      <c r="E34" t="s">
        <v>115</v>
      </c>
      <c r="F34" t="str">
        <f>TEXT(Data[[#This Row],[Applied Date]],"mmmm")</f>
        <v>February</v>
      </c>
      <c r="G34" t="s">
        <v>33</v>
      </c>
      <c r="H34" t="s">
        <v>33</v>
      </c>
      <c r="I34" t="s">
        <v>33</v>
      </c>
      <c r="J34" t="s">
        <v>40</v>
      </c>
      <c r="K34" t="s">
        <v>40</v>
      </c>
      <c r="L34">
        <v>31</v>
      </c>
      <c r="M34" t="s">
        <v>25</v>
      </c>
      <c r="N34" t="s">
        <v>26</v>
      </c>
      <c r="O34">
        <v>34</v>
      </c>
      <c r="P34">
        <v>5</v>
      </c>
      <c r="Q34">
        <v>11679000</v>
      </c>
      <c r="R34">
        <v>11394000</v>
      </c>
      <c r="S34" t="s">
        <v>9</v>
      </c>
    </row>
    <row r="35" spans="1:19" x14ac:dyDescent="0.35">
      <c r="A35" t="s">
        <v>116</v>
      </c>
      <c r="B35" t="s">
        <v>72</v>
      </c>
      <c r="C35" t="s">
        <v>37</v>
      </c>
      <c r="D35" t="s">
        <v>51</v>
      </c>
      <c r="E35" t="s">
        <v>117</v>
      </c>
      <c r="F35" t="str">
        <f>TEXT(Data[[#This Row],[Applied Date]],"mmmm")</f>
        <v>February</v>
      </c>
      <c r="G35" t="s">
        <v>23</v>
      </c>
      <c r="H35" t="s">
        <v>24</v>
      </c>
      <c r="I35" t="s">
        <v>24</v>
      </c>
      <c r="J35" t="s">
        <v>24</v>
      </c>
      <c r="K35" t="s">
        <v>24</v>
      </c>
      <c r="M35" t="s">
        <v>25</v>
      </c>
      <c r="N35" t="s">
        <v>26</v>
      </c>
      <c r="O35">
        <v>31</v>
      </c>
      <c r="P35">
        <v>9</v>
      </c>
      <c r="Q35">
        <v>16132000</v>
      </c>
      <c r="S35" t="s">
        <v>27</v>
      </c>
    </row>
    <row r="36" spans="1:19" x14ac:dyDescent="0.35">
      <c r="A36" t="s">
        <v>118</v>
      </c>
      <c r="B36" t="s">
        <v>44</v>
      </c>
      <c r="C36" t="s">
        <v>45</v>
      </c>
      <c r="D36" t="s">
        <v>31</v>
      </c>
      <c r="E36" t="s">
        <v>119</v>
      </c>
      <c r="F36" t="str">
        <f>TEXT(Data[[#This Row],[Applied Date]],"mmmm")</f>
        <v>March</v>
      </c>
      <c r="G36" t="s">
        <v>33</v>
      </c>
      <c r="H36" t="s">
        <v>33</v>
      </c>
      <c r="I36" t="s">
        <v>33</v>
      </c>
      <c r="J36" t="s">
        <v>40</v>
      </c>
      <c r="K36" t="s">
        <v>40</v>
      </c>
      <c r="L36">
        <v>32</v>
      </c>
      <c r="M36" t="s">
        <v>25</v>
      </c>
      <c r="N36" t="s">
        <v>42</v>
      </c>
      <c r="O36">
        <v>24</v>
      </c>
      <c r="P36">
        <v>9</v>
      </c>
      <c r="Q36">
        <v>16428000</v>
      </c>
      <c r="R36">
        <v>15760000</v>
      </c>
      <c r="S36" t="s">
        <v>9</v>
      </c>
    </row>
    <row r="37" spans="1:19" x14ac:dyDescent="0.35">
      <c r="A37" t="s">
        <v>120</v>
      </c>
      <c r="B37" t="s">
        <v>49</v>
      </c>
      <c r="C37" t="s">
        <v>50</v>
      </c>
      <c r="D37" t="s">
        <v>51</v>
      </c>
      <c r="E37" t="s">
        <v>121</v>
      </c>
      <c r="F37" t="str">
        <f>TEXT(Data[[#This Row],[Applied Date]],"mmmm")</f>
        <v>April</v>
      </c>
      <c r="G37" t="s">
        <v>33</v>
      </c>
      <c r="H37" t="s">
        <v>23</v>
      </c>
      <c r="I37" t="s">
        <v>24</v>
      </c>
      <c r="J37" t="s">
        <v>24</v>
      </c>
      <c r="K37" t="s">
        <v>24</v>
      </c>
      <c r="M37" t="s">
        <v>63</v>
      </c>
      <c r="N37" t="s">
        <v>26</v>
      </c>
      <c r="O37">
        <v>33</v>
      </c>
      <c r="P37">
        <v>7</v>
      </c>
      <c r="Q37">
        <v>13706000</v>
      </c>
      <c r="S37" t="s">
        <v>27</v>
      </c>
    </row>
    <row r="38" spans="1:19" x14ac:dyDescent="0.35">
      <c r="A38" t="s">
        <v>122</v>
      </c>
      <c r="B38" t="s">
        <v>72</v>
      </c>
      <c r="C38" t="s">
        <v>37</v>
      </c>
      <c r="D38" t="s">
        <v>31</v>
      </c>
      <c r="E38" t="s">
        <v>123</v>
      </c>
      <c r="F38" t="str">
        <f>TEXT(Data[[#This Row],[Applied Date]],"mmmm")</f>
        <v>June</v>
      </c>
      <c r="G38" t="s">
        <v>23</v>
      </c>
      <c r="H38" t="s">
        <v>24</v>
      </c>
      <c r="I38" t="s">
        <v>24</v>
      </c>
      <c r="J38" t="s">
        <v>24</v>
      </c>
      <c r="K38" t="s">
        <v>24</v>
      </c>
      <c r="M38" t="s">
        <v>57</v>
      </c>
      <c r="N38" t="s">
        <v>26</v>
      </c>
      <c r="O38">
        <v>21</v>
      </c>
      <c r="P38">
        <v>6</v>
      </c>
      <c r="Q38">
        <v>12287000</v>
      </c>
      <c r="S38" t="s">
        <v>27</v>
      </c>
    </row>
    <row r="39" spans="1:19" x14ac:dyDescent="0.35">
      <c r="A39" t="s">
        <v>124</v>
      </c>
      <c r="B39" t="s">
        <v>36</v>
      </c>
      <c r="C39" t="s">
        <v>37</v>
      </c>
      <c r="D39" t="s">
        <v>38</v>
      </c>
      <c r="E39" t="s">
        <v>125</v>
      </c>
      <c r="F39" t="str">
        <f>TEXT(Data[[#This Row],[Applied Date]],"mmmm")</f>
        <v>March</v>
      </c>
      <c r="G39" t="s">
        <v>33</v>
      </c>
      <c r="H39" t="s">
        <v>33</v>
      </c>
      <c r="I39" t="s">
        <v>33</v>
      </c>
      <c r="J39" t="s">
        <v>40</v>
      </c>
      <c r="K39" t="s">
        <v>62</v>
      </c>
      <c r="L39">
        <v>29</v>
      </c>
      <c r="M39" t="s">
        <v>57</v>
      </c>
      <c r="N39" t="s">
        <v>42</v>
      </c>
      <c r="O39">
        <v>34</v>
      </c>
      <c r="P39">
        <v>8</v>
      </c>
      <c r="Q39">
        <v>14803000</v>
      </c>
      <c r="S39" t="s">
        <v>64</v>
      </c>
    </row>
    <row r="40" spans="1:19" x14ac:dyDescent="0.35">
      <c r="A40" t="s">
        <v>126</v>
      </c>
      <c r="B40" t="s">
        <v>44</v>
      </c>
      <c r="C40" t="s">
        <v>45</v>
      </c>
      <c r="D40" t="s">
        <v>38</v>
      </c>
      <c r="E40" t="s">
        <v>92</v>
      </c>
      <c r="F40" t="str">
        <f>TEXT(Data[[#This Row],[Applied Date]],"mmmm")</f>
        <v>April</v>
      </c>
      <c r="G40" t="s">
        <v>33</v>
      </c>
      <c r="H40" t="s">
        <v>23</v>
      </c>
      <c r="I40" t="s">
        <v>24</v>
      </c>
      <c r="J40" t="s">
        <v>24</v>
      </c>
      <c r="K40" t="s">
        <v>24</v>
      </c>
      <c r="M40" t="s">
        <v>41</v>
      </c>
      <c r="N40" t="s">
        <v>26</v>
      </c>
      <c r="O40">
        <v>35</v>
      </c>
      <c r="P40">
        <v>5</v>
      </c>
      <c r="Q40">
        <v>11471000</v>
      </c>
      <c r="S40" t="s">
        <v>27</v>
      </c>
    </row>
    <row r="41" spans="1:19" x14ac:dyDescent="0.35">
      <c r="A41" t="s">
        <v>127</v>
      </c>
      <c r="B41" t="s">
        <v>36</v>
      </c>
      <c r="C41" t="s">
        <v>37</v>
      </c>
      <c r="D41" t="s">
        <v>31</v>
      </c>
      <c r="E41" t="s">
        <v>61</v>
      </c>
      <c r="F41" t="str">
        <f>TEXT(Data[[#This Row],[Applied Date]],"mmmm")</f>
        <v>March</v>
      </c>
      <c r="G41" t="s">
        <v>23</v>
      </c>
      <c r="H41" t="s">
        <v>24</v>
      </c>
      <c r="I41" t="s">
        <v>24</v>
      </c>
      <c r="J41" t="s">
        <v>24</v>
      </c>
      <c r="K41" t="s">
        <v>24</v>
      </c>
      <c r="M41" t="s">
        <v>57</v>
      </c>
      <c r="N41" t="s">
        <v>26</v>
      </c>
      <c r="O41">
        <v>23</v>
      </c>
      <c r="P41">
        <v>6</v>
      </c>
      <c r="Q41">
        <v>11911000</v>
      </c>
      <c r="S41" t="s">
        <v>27</v>
      </c>
    </row>
    <row r="42" spans="1:19" x14ac:dyDescent="0.35">
      <c r="A42" t="s">
        <v>128</v>
      </c>
      <c r="B42" t="s">
        <v>36</v>
      </c>
      <c r="C42" t="s">
        <v>37</v>
      </c>
      <c r="D42" t="s">
        <v>46</v>
      </c>
      <c r="E42" t="s">
        <v>129</v>
      </c>
      <c r="F42" t="str">
        <f>TEXT(Data[[#This Row],[Applied Date]],"mmmm")</f>
        <v>May</v>
      </c>
      <c r="G42" t="s">
        <v>33</v>
      </c>
      <c r="H42" t="s">
        <v>33</v>
      </c>
      <c r="I42" t="s">
        <v>33</v>
      </c>
      <c r="J42" t="s">
        <v>40</v>
      </c>
      <c r="K42" t="s">
        <v>40</v>
      </c>
      <c r="L42">
        <v>15</v>
      </c>
      <c r="M42" t="s">
        <v>57</v>
      </c>
      <c r="N42" t="s">
        <v>26</v>
      </c>
      <c r="O42">
        <v>28</v>
      </c>
      <c r="P42">
        <v>7</v>
      </c>
      <c r="Q42">
        <v>13390000</v>
      </c>
      <c r="R42">
        <v>12920000</v>
      </c>
      <c r="S42" t="s">
        <v>9</v>
      </c>
    </row>
    <row r="43" spans="1:19" x14ac:dyDescent="0.35">
      <c r="A43" t="s">
        <v>130</v>
      </c>
      <c r="B43" t="s">
        <v>72</v>
      </c>
      <c r="C43" t="s">
        <v>37</v>
      </c>
      <c r="D43" t="s">
        <v>79</v>
      </c>
      <c r="E43" t="s">
        <v>131</v>
      </c>
      <c r="F43" t="str">
        <f>TEXT(Data[[#This Row],[Applied Date]],"mmmm")</f>
        <v>April</v>
      </c>
      <c r="G43" t="s">
        <v>33</v>
      </c>
      <c r="H43" t="s">
        <v>33</v>
      </c>
      <c r="I43" t="s">
        <v>33</v>
      </c>
      <c r="J43" t="s">
        <v>40</v>
      </c>
      <c r="K43" t="s">
        <v>40</v>
      </c>
      <c r="L43">
        <v>35</v>
      </c>
      <c r="M43" t="s">
        <v>57</v>
      </c>
      <c r="N43" t="s">
        <v>42</v>
      </c>
      <c r="O43">
        <v>40</v>
      </c>
      <c r="P43">
        <v>7</v>
      </c>
      <c r="Q43">
        <v>13185000</v>
      </c>
      <c r="R43">
        <v>13013000</v>
      </c>
      <c r="S43" t="s">
        <v>9</v>
      </c>
    </row>
    <row r="44" spans="1:19" x14ac:dyDescent="0.35">
      <c r="A44" t="s">
        <v>132</v>
      </c>
      <c r="B44" t="s">
        <v>82</v>
      </c>
      <c r="C44" t="s">
        <v>83</v>
      </c>
      <c r="D44" t="s">
        <v>79</v>
      </c>
      <c r="E44" t="s">
        <v>133</v>
      </c>
      <c r="F44" t="str">
        <f>TEXT(Data[[#This Row],[Applied Date]],"mmmm")</f>
        <v>June</v>
      </c>
      <c r="G44" t="s">
        <v>33</v>
      </c>
      <c r="H44" t="s">
        <v>33</v>
      </c>
      <c r="I44" t="s">
        <v>33</v>
      </c>
      <c r="J44" t="s">
        <v>40</v>
      </c>
      <c r="K44" t="s">
        <v>40</v>
      </c>
      <c r="L44">
        <v>18</v>
      </c>
      <c r="M44" t="s">
        <v>25</v>
      </c>
      <c r="N44" t="s">
        <v>42</v>
      </c>
      <c r="O44">
        <v>30</v>
      </c>
      <c r="P44">
        <v>0</v>
      </c>
      <c r="Q44">
        <v>5639000</v>
      </c>
      <c r="R44">
        <v>5463000</v>
      </c>
      <c r="S44" t="s">
        <v>9</v>
      </c>
    </row>
    <row r="45" spans="1:19" x14ac:dyDescent="0.35">
      <c r="A45" t="s">
        <v>134</v>
      </c>
      <c r="B45" t="s">
        <v>44</v>
      </c>
      <c r="C45" t="s">
        <v>45</v>
      </c>
      <c r="D45" t="s">
        <v>31</v>
      </c>
      <c r="E45" t="s">
        <v>88</v>
      </c>
      <c r="F45" t="str">
        <f>TEXT(Data[[#This Row],[Applied Date]],"mmmm")</f>
        <v>February</v>
      </c>
      <c r="G45" t="s">
        <v>33</v>
      </c>
      <c r="H45" t="s">
        <v>33</v>
      </c>
      <c r="I45" t="s">
        <v>33</v>
      </c>
      <c r="J45" t="s">
        <v>40</v>
      </c>
      <c r="K45" t="s">
        <v>40</v>
      </c>
      <c r="L45">
        <v>33</v>
      </c>
      <c r="M45" t="s">
        <v>41</v>
      </c>
      <c r="N45" t="s">
        <v>42</v>
      </c>
      <c r="O45">
        <v>35</v>
      </c>
      <c r="P45">
        <v>10</v>
      </c>
      <c r="Q45">
        <v>17185000</v>
      </c>
      <c r="R45">
        <v>16970000</v>
      </c>
      <c r="S45" t="s">
        <v>9</v>
      </c>
    </row>
    <row r="46" spans="1:19" x14ac:dyDescent="0.35">
      <c r="A46" t="s">
        <v>135</v>
      </c>
      <c r="B46" t="s">
        <v>44</v>
      </c>
      <c r="C46" t="s">
        <v>45</v>
      </c>
      <c r="D46" t="s">
        <v>21</v>
      </c>
      <c r="E46" t="s">
        <v>107</v>
      </c>
      <c r="F46" t="str">
        <f>TEXT(Data[[#This Row],[Applied Date]],"mmmm")</f>
        <v>May</v>
      </c>
      <c r="G46" t="s">
        <v>33</v>
      </c>
      <c r="H46" t="s">
        <v>33</v>
      </c>
      <c r="I46" t="s">
        <v>33</v>
      </c>
      <c r="J46" t="s">
        <v>40</v>
      </c>
      <c r="K46" t="s">
        <v>40</v>
      </c>
      <c r="L46">
        <v>24</v>
      </c>
      <c r="M46" t="s">
        <v>41</v>
      </c>
      <c r="N46" t="s">
        <v>42</v>
      </c>
      <c r="O46">
        <v>32</v>
      </c>
      <c r="P46">
        <v>5</v>
      </c>
      <c r="Q46">
        <v>11078000</v>
      </c>
      <c r="R46">
        <v>10685000</v>
      </c>
      <c r="S46" t="s">
        <v>9</v>
      </c>
    </row>
    <row r="47" spans="1:19" x14ac:dyDescent="0.35">
      <c r="A47" t="s">
        <v>136</v>
      </c>
      <c r="B47" t="s">
        <v>29</v>
      </c>
      <c r="C47" t="s">
        <v>30</v>
      </c>
      <c r="D47" t="s">
        <v>46</v>
      </c>
      <c r="E47" t="s">
        <v>94</v>
      </c>
      <c r="F47" t="str">
        <f>TEXT(Data[[#This Row],[Applied Date]],"mmmm")</f>
        <v>May</v>
      </c>
      <c r="G47" t="s">
        <v>33</v>
      </c>
      <c r="H47" t="s">
        <v>33</v>
      </c>
      <c r="I47" t="s">
        <v>33</v>
      </c>
      <c r="J47" t="s">
        <v>40</v>
      </c>
      <c r="K47" t="s">
        <v>40</v>
      </c>
      <c r="L47">
        <v>13</v>
      </c>
      <c r="M47" t="s">
        <v>41</v>
      </c>
      <c r="N47" t="s">
        <v>42</v>
      </c>
      <c r="O47">
        <v>24</v>
      </c>
      <c r="P47">
        <v>10</v>
      </c>
      <c r="Q47">
        <v>17506000</v>
      </c>
      <c r="R47">
        <v>17298000</v>
      </c>
      <c r="S47" t="s">
        <v>9</v>
      </c>
    </row>
    <row r="48" spans="1:19" x14ac:dyDescent="0.35">
      <c r="A48" t="s">
        <v>137</v>
      </c>
      <c r="B48" t="s">
        <v>36</v>
      </c>
      <c r="C48" t="s">
        <v>37</v>
      </c>
      <c r="D48" t="s">
        <v>31</v>
      </c>
      <c r="E48" t="s">
        <v>61</v>
      </c>
      <c r="F48" t="str">
        <f>TEXT(Data[[#This Row],[Applied Date]],"mmmm")</f>
        <v>March</v>
      </c>
      <c r="G48" t="s">
        <v>33</v>
      </c>
      <c r="H48" t="s">
        <v>23</v>
      </c>
      <c r="I48" t="s">
        <v>24</v>
      </c>
      <c r="J48" t="s">
        <v>24</v>
      </c>
      <c r="K48" t="s">
        <v>24</v>
      </c>
      <c r="M48" t="s">
        <v>57</v>
      </c>
      <c r="N48" t="s">
        <v>26</v>
      </c>
      <c r="O48">
        <v>30</v>
      </c>
      <c r="P48">
        <v>6</v>
      </c>
      <c r="Q48">
        <v>12104000</v>
      </c>
      <c r="S48" t="s">
        <v>27</v>
      </c>
    </row>
    <row r="49" spans="1:19" x14ac:dyDescent="0.35">
      <c r="A49" t="s">
        <v>138</v>
      </c>
      <c r="B49" t="s">
        <v>44</v>
      </c>
      <c r="C49" t="s">
        <v>45</v>
      </c>
      <c r="D49" t="s">
        <v>51</v>
      </c>
      <c r="E49" t="s">
        <v>139</v>
      </c>
      <c r="F49" t="str">
        <f>TEXT(Data[[#This Row],[Applied Date]],"mmmm")</f>
        <v>May</v>
      </c>
      <c r="G49" t="s">
        <v>23</v>
      </c>
      <c r="H49" t="s">
        <v>24</v>
      </c>
      <c r="I49" t="s">
        <v>24</v>
      </c>
      <c r="J49" t="s">
        <v>24</v>
      </c>
      <c r="K49" t="s">
        <v>24</v>
      </c>
      <c r="M49" t="s">
        <v>34</v>
      </c>
      <c r="N49" t="s">
        <v>42</v>
      </c>
      <c r="O49">
        <v>33</v>
      </c>
      <c r="P49">
        <v>1</v>
      </c>
      <c r="Q49">
        <v>6439000</v>
      </c>
      <c r="S49" t="s">
        <v>27</v>
      </c>
    </row>
    <row r="50" spans="1:19" x14ac:dyDescent="0.35">
      <c r="A50" t="s">
        <v>140</v>
      </c>
      <c r="B50" t="s">
        <v>29</v>
      </c>
      <c r="C50" t="s">
        <v>30</v>
      </c>
      <c r="D50" t="s">
        <v>46</v>
      </c>
      <c r="E50" t="s">
        <v>141</v>
      </c>
      <c r="F50" t="str">
        <f>TEXT(Data[[#This Row],[Applied Date]],"mmmm")</f>
        <v>January</v>
      </c>
      <c r="G50" t="s">
        <v>33</v>
      </c>
      <c r="H50" t="s">
        <v>23</v>
      </c>
      <c r="I50" t="s">
        <v>24</v>
      </c>
      <c r="J50" t="s">
        <v>24</v>
      </c>
      <c r="K50" t="s">
        <v>24</v>
      </c>
      <c r="M50" t="s">
        <v>57</v>
      </c>
      <c r="N50" t="s">
        <v>26</v>
      </c>
      <c r="O50">
        <v>40</v>
      </c>
      <c r="P50">
        <v>3</v>
      </c>
      <c r="Q50">
        <v>9339000</v>
      </c>
      <c r="S50" t="s">
        <v>27</v>
      </c>
    </row>
    <row r="51" spans="1:19" x14ac:dyDescent="0.35">
      <c r="A51" t="s">
        <v>142</v>
      </c>
      <c r="B51" t="s">
        <v>72</v>
      </c>
      <c r="C51" t="s">
        <v>37</v>
      </c>
      <c r="D51" t="s">
        <v>46</v>
      </c>
      <c r="E51" t="s">
        <v>121</v>
      </c>
      <c r="F51" t="str">
        <f>TEXT(Data[[#This Row],[Applied Date]],"mmmm")</f>
        <v>April</v>
      </c>
      <c r="G51" t="s">
        <v>33</v>
      </c>
      <c r="H51" t="s">
        <v>33</v>
      </c>
      <c r="I51" t="s">
        <v>33</v>
      </c>
      <c r="J51" t="s">
        <v>40</v>
      </c>
      <c r="K51" t="s">
        <v>40</v>
      </c>
      <c r="L51">
        <v>17</v>
      </c>
      <c r="M51" t="s">
        <v>63</v>
      </c>
      <c r="N51" t="s">
        <v>42</v>
      </c>
      <c r="O51">
        <v>27</v>
      </c>
      <c r="P51">
        <v>0</v>
      </c>
      <c r="Q51">
        <v>4982000</v>
      </c>
      <c r="R51">
        <v>4822000</v>
      </c>
      <c r="S51" t="s">
        <v>9</v>
      </c>
    </row>
    <row r="52" spans="1:19" x14ac:dyDescent="0.35">
      <c r="A52" t="s">
        <v>143</v>
      </c>
      <c r="B52" t="s">
        <v>72</v>
      </c>
      <c r="C52" t="s">
        <v>37</v>
      </c>
      <c r="D52" t="s">
        <v>31</v>
      </c>
      <c r="E52" t="s">
        <v>144</v>
      </c>
      <c r="F52" t="str">
        <f>TEXT(Data[[#This Row],[Applied Date]],"mmmm")</f>
        <v>May</v>
      </c>
      <c r="G52" t="s">
        <v>23</v>
      </c>
      <c r="H52" t="s">
        <v>24</v>
      </c>
      <c r="I52" t="s">
        <v>24</v>
      </c>
      <c r="J52" t="s">
        <v>24</v>
      </c>
      <c r="K52" t="s">
        <v>24</v>
      </c>
      <c r="M52" t="s">
        <v>25</v>
      </c>
      <c r="N52" t="s">
        <v>42</v>
      </c>
      <c r="O52">
        <v>25</v>
      </c>
      <c r="P52">
        <v>7</v>
      </c>
      <c r="Q52">
        <v>13382000</v>
      </c>
      <c r="S52" t="s">
        <v>27</v>
      </c>
    </row>
    <row r="53" spans="1:19" x14ac:dyDescent="0.35">
      <c r="A53" t="s">
        <v>145</v>
      </c>
      <c r="B53" t="s">
        <v>36</v>
      </c>
      <c r="C53" t="s">
        <v>37</v>
      </c>
      <c r="D53" t="s">
        <v>38</v>
      </c>
      <c r="E53" t="s">
        <v>146</v>
      </c>
      <c r="F53" t="str">
        <f>TEXT(Data[[#This Row],[Applied Date]],"mmmm")</f>
        <v>April</v>
      </c>
      <c r="G53" t="s">
        <v>33</v>
      </c>
      <c r="H53" t="s">
        <v>33</v>
      </c>
      <c r="I53" t="s">
        <v>23</v>
      </c>
      <c r="J53" t="s">
        <v>24</v>
      </c>
      <c r="K53" t="s">
        <v>24</v>
      </c>
      <c r="M53" t="s">
        <v>25</v>
      </c>
      <c r="N53" t="s">
        <v>26</v>
      </c>
      <c r="O53">
        <v>21</v>
      </c>
      <c r="P53">
        <v>9</v>
      </c>
      <c r="Q53">
        <v>15834000</v>
      </c>
      <c r="S53" t="s">
        <v>27</v>
      </c>
    </row>
    <row r="54" spans="1:19" x14ac:dyDescent="0.35">
      <c r="A54" t="s">
        <v>147</v>
      </c>
      <c r="B54" t="s">
        <v>66</v>
      </c>
      <c r="C54" t="s">
        <v>67</v>
      </c>
      <c r="D54" t="s">
        <v>21</v>
      </c>
      <c r="E54" t="s">
        <v>148</v>
      </c>
      <c r="F54" t="str">
        <f>TEXT(Data[[#This Row],[Applied Date]],"mmmm")</f>
        <v>June</v>
      </c>
      <c r="G54" t="s">
        <v>33</v>
      </c>
      <c r="H54" t="s">
        <v>33</v>
      </c>
      <c r="I54" t="s">
        <v>23</v>
      </c>
      <c r="J54" t="s">
        <v>24</v>
      </c>
      <c r="K54" t="s">
        <v>24</v>
      </c>
      <c r="M54" t="s">
        <v>25</v>
      </c>
      <c r="N54" t="s">
        <v>42</v>
      </c>
      <c r="O54">
        <v>23</v>
      </c>
      <c r="P54">
        <v>8</v>
      </c>
      <c r="Q54">
        <v>14949000</v>
      </c>
      <c r="S54" t="s">
        <v>27</v>
      </c>
    </row>
    <row r="55" spans="1:19" x14ac:dyDescent="0.35">
      <c r="A55" t="s">
        <v>149</v>
      </c>
      <c r="B55" t="s">
        <v>66</v>
      </c>
      <c r="C55" t="s">
        <v>67</v>
      </c>
      <c r="D55" t="s">
        <v>79</v>
      </c>
      <c r="E55" t="s">
        <v>139</v>
      </c>
      <c r="F55" t="str">
        <f>TEXT(Data[[#This Row],[Applied Date]],"mmmm")</f>
        <v>May</v>
      </c>
      <c r="G55" t="s">
        <v>33</v>
      </c>
      <c r="H55" t="s">
        <v>33</v>
      </c>
      <c r="I55" t="s">
        <v>33</v>
      </c>
      <c r="J55" t="s">
        <v>40</v>
      </c>
      <c r="K55" t="s">
        <v>40</v>
      </c>
      <c r="L55">
        <v>21</v>
      </c>
      <c r="M55" t="s">
        <v>25</v>
      </c>
      <c r="N55" t="s">
        <v>26</v>
      </c>
      <c r="O55">
        <v>33</v>
      </c>
      <c r="P55">
        <v>9</v>
      </c>
      <c r="Q55">
        <v>16144000</v>
      </c>
      <c r="R55">
        <v>16104000</v>
      </c>
      <c r="S55" t="s">
        <v>9</v>
      </c>
    </row>
    <row r="56" spans="1:19" x14ac:dyDescent="0.35">
      <c r="A56" t="s">
        <v>150</v>
      </c>
      <c r="B56" t="s">
        <v>66</v>
      </c>
      <c r="C56" t="s">
        <v>67</v>
      </c>
      <c r="D56" t="s">
        <v>21</v>
      </c>
      <c r="E56" t="s">
        <v>151</v>
      </c>
      <c r="F56" t="str">
        <f>TEXT(Data[[#This Row],[Applied Date]],"mmmm")</f>
        <v>February</v>
      </c>
      <c r="G56" t="s">
        <v>33</v>
      </c>
      <c r="H56" t="s">
        <v>33</v>
      </c>
      <c r="I56" t="s">
        <v>33</v>
      </c>
      <c r="J56" t="s">
        <v>40</v>
      </c>
      <c r="K56" t="s">
        <v>40</v>
      </c>
      <c r="L56">
        <v>17</v>
      </c>
      <c r="M56" t="s">
        <v>63</v>
      </c>
      <c r="N56" t="s">
        <v>26</v>
      </c>
      <c r="O56">
        <v>22</v>
      </c>
      <c r="P56">
        <v>9</v>
      </c>
      <c r="Q56">
        <v>15725000</v>
      </c>
      <c r="R56">
        <v>15424000</v>
      </c>
      <c r="S56" t="s">
        <v>9</v>
      </c>
    </row>
    <row r="57" spans="1:19" x14ac:dyDescent="0.35">
      <c r="A57" t="s">
        <v>152</v>
      </c>
      <c r="B57" t="s">
        <v>82</v>
      </c>
      <c r="C57" t="s">
        <v>83</v>
      </c>
      <c r="D57" t="s">
        <v>21</v>
      </c>
      <c r="E57" t="s">
        <v>153</v>
      </c>
      <c r="F57" t="str">
        <f>TEXT(Data[[#This Row],[Applied Date]],"mmmm")</f>
        <v>February</v>
      </c>
      <c r="G57" t="s">
        <v>33</v>
      </c>
      <c r="H57" t="s">
        <v>23</v>
      </c>
      <c r="I57" t="s">
        <v>24</v>
      </c>
      <c r="J57" t="s">
        <v>24</v>
      </c>
      <c r="K57" t="s">
        <v>24</v>
      </c>
      <c r="M57" t="s">
        <v>34</v>
      </c>
      <c r="N57" t="s">
        <v>26</v>
      </c>
      <c r="O57">
        <v>28</v>
      </c>
      <c r="P57">
        <v>2</v>
      </c>
      <c r="Q57">
        <v>7589000</v>
      </c>
      <c r="S57" t="s">
        <v>27</v>
      </c>
    </row>
    <row r="58" spans="1:19" x14ac:dyDescent="0.35">
      <c r="A58" t="s">
        <v>154</v>
      </c>
      <c r="B58" t="s">
        <v>19</v>
      </c>
      <c r="C58" t="s">
        <v>20</v>
      </c>
      <c r="D58" t="s">
        <v>21</v>
      </c>
      <c r="E58" t="s">
        <v>151</v>
      </c>
      <c r="F58" t="str">
        <f>TEXT(Data[[#This Row],[Applied Date]],"mmmm")</f>
        <v>February</v>
      </c>
      <c r="G58" t="s">
        <v>23</v>
      </c>
      <c r="H58" t="s">
        <v>24</v>
      </c>
      <c r="I58" t="s">
        <v>24</v>
      </c>
      <c r="J58" t="s">
        <v>24</v>
      </c>
      <c r="K58" t="s">
        <v>24</v>
      </c>
      <c r="M58" t="s">
        <v>25</v>
      </c>
      <c r="N58" t="s">
        <v>42</v>
      </c>
      <c r="O58">
        <v>21</v>
      </c>
      <c r="P58">
        <v>2</v>
      </c>
      <c r="Q58">
        <v>8178000</v>
      </c>
      <c r="S58" t="s">
        <v>27</v>
      </c>
    </row>
    <row r="59" spans="1:19" x14ac:dyDescent="0.35">
      <c r="A59" t="s">
        <v>155</v>
      </c>
      <c r="B59" t="s">
        <v>36</v>
      </c>
      <c r="C59" t="s">
        <v>37</v>
      </c>
      <c r="D59" t="s">
        <v>51</v>
      </c>
      <c r="E59" t="s">
        <v>32</v>
      </c>
      <c r="F59" t="str">
        <f>TEXT(Data[[#This Row],[Applied Date]],"mmmm")</f>
        <v>May</v>
      </c>
      <c r="G59" t="s">
        <v>33</v>
      </c>
      <c r="H59" t="s">
        <v>23</v>
      </c>
      <c r="I59" t="s">
        <v>24</v>
      </c>
      <c r="J59" t="s">
        <v>24</v>
      </c>
      <c r="K59" t="s">
        <v>24</v>
      </c>
      <c r="M59" t="s">
        <v>63</v>
      </c>
      <c r="N59" t="s">
        <v>42</v>
      </c>
      <c r="O59">
        <v>21</v>
      </c>
      <c r="P59">
        <v>3</v>
      </c>
      <c r="Q59">
        <v>8807000</v>
      </c>
      <c r="S59" t="s">
        <v>27</v>
      </c>
    </row>
    <row r="60" spans="1:19" x14ac:dyDescent="0.35">
      <c r="A60" t="s">
        <v>156</v>
      </c>
      <c r="B60" t="s">
        <v>44</v>
      </c>
      <c r="C60" t="s">
        <v>45</v>
      </c>
      <c r="D60" t="s">
        <v>21</v>
      </c>
      <c r="E60" t="s">
        <v>157</v>
      </c>
      <c r="F60" t="str">
        <f>TEXT(Data[[#This Row],[Applied Date]],"mmmm")</f>
        <v>June</v>
      </c>
      <c r="G60" t="s">
        <v>33</v>
      </c>
      <c r="H60" t="s">
        <v>33</v>
      </c>
      <c r="I60" t="s">
        <v>33</v>
      </c>
      <c r="J60" t="s">
        <v>40</v>
      </c>
      <c r="K60" t="s">
        <v>62</v>
      </c>
      <c r="L60">
        <v>24</v>
      </c>
      <c r="M60" t="s">
        <v>25</v>
      </c>
      <c r="N60" t="s">
        <v>42</v>
      </c>
      <c r="O60">
        <v>32</v>
      </c>
      <c r="P60">
        <v>1</v>
      </c>
      <c r="Q60">
        <v>6516000</v>
      </c>
      <c r="S60" t="s">
        <v>64</v>
      </c>
    </row>
    <row r="61" spans="1:19" x14ac:dyDescent="0.35">
      <c r="A61" t="s">
        <v>158</v>
      </c>
      <c r="B61" t="s">
        <v>36</v>
      </c>
      <c r="C61" t="s">
        <v>37</v>
      </c>
      <c r="D61" t="s">
        <v>51</v>
      </c>
      <c r="E61" t="s">
        <v>159</v>
      </c>
      <c r="F61" t="str">
        <f>TEXT(Data[[#This Row],[Applied Date]],"mmmm")</f>
        <v>April</v>
      </c>
      <c r="G61" t="s">
        <v>33</v>
      </c>
      <c r="H61" t="s">
        <v>23</v>
      </c>
      <c r="I61" t="s">
        <v>24</v>
      </c>
      <c r="J61" t="s">
        <v>24</v>
      </c>
      <c r="K61" t="s">
        <v>24</v>
      </c>
      <c r="M61" t="s">
        <v>41</v>
      </c>
      <c r="N61" t="s">
        <v>26</v>
      </c>
      <c r="O61">
        <v>28</v>
      </c>
      <c r="P61">
        <v>10</v>
      </c>
      <c r="Q61">
        <v>17154000</v>
      </c>
      <c r="S61" t="s">
        <v>27</v>
      </c>
    </row>
    <row r="62" spans="1:19" x14ac:dyDescent="0.35">
      <c r="A62" t="s">
        <v>160</v>
      </c>
      <c r="B62" t="s">
        <v>19</v>
      </c>
      <c r="C62" t="s">
        <v>20</v>
      </c>
      <c r="D62" t="s">
        <v>31</v>
      </c>
      <c r="E62" t="s">
        <v>161</v>
      </c>
      <c r="F62" t="str">
        <f>TEXT(Data[[#This Row],[Applied Date]],"mmmm")</f>
        <v>March</v>
      </c>
      <c r="G62" t="s">
        <v>33</v>
      </c>
      <c r="H62" t="s">
        <v>33</v>
      </c>
      <c r="I62" t="s">
        <v>33</v>
      </c>
      <c r="J62" t="s">
        <v>40</v>
      </c>
      <c r="K62" t="s">
        <v>40</v>
      </c>
      <c r="L62">
        <v>32</v>
      </c>
      <c r="M62" t="s">
        <v>41</v>
      </c>
      <c r="N62" t="s">
        <v>26</v>
      </c>
      <c r="O62">
        <v>29</v>
      </c>
      <c r="P62">
        <v>2</v>
      </c>
      <c r="Q62">
        <v>7448000</v>
      </c>
      <c r="R62">
        <v>7222000</v>
      </c>
      <c r="S62" t="s">
        <v>9</v>
      </c>
    </row>
    <row r="63" spans="1:19" x14ac:dyDescent="0.35">
      <c r="A63" t="s">
        <v>162</v>
      </c>
      <c r="B63" t="s">
        <v>82</v>
      </c>
      <c r="C63" t="s">
        <v>83</v>
      </c>
      <c r="D63" t="s">
        <v>46</v>
      </c>
      <c r="E63" t="s">
        <v>163</v>
      </c>
      <c r="F63" t="str">
        <f>TEXT(Data[[#This Row],[Applied Date]],"mmmm")</f>
        <v>April</v>
      </c>
      <c r="G63" t="s">
        <v>33</v>
      </c>
      <c r="H63" t="s">
        <v>33</v>
      </c>
      <c r="I63" t="s">
        <v>33</v>
      </c>
      <c r="J63" t="s">
        <v>40</v>
      </c>
      <c r="K63" t="s">
        <v>40</v>
      </c>
      <c r="L63">
        <v>30</v>
      </c>
      <c r="M63" t="s">
        <v>25</v>
      </c>
      <c r="N63" t="s">
        <v>26</v>
      </c>
      <c r="O63">
        <v>21</v>
      </c>
      <c r="P63">
        <v>7</v>
      </c>
      <c r="Q63">
        <v>13798000</v>
      </c>
      <c r="R63">
        <v>13445000</v>
      </c>
      <c r="S63" t="s">
        <v>9</v>
      </c>
    </row>
    <row r="64" spans="1:19" x14ac:dyDescent="0.35">
      <c r="A64" t="s">
        <v>164</v>
      </c>
      <c r="B64" t="s">
        <v>36</v>
      </c>
      <c r="C64" t="s">
        <v>37</v>
      </c>
      <c r="D64" t="s">
        <v>21</v>
      </c>
      <c r="E64" t="s">
        <v>165</v>
      </c>
      <c r="F64" t="str">
        <f>TEXT(Data[[#This Row],[Applied Date]],"mmmm")</f>
        <v>May</v>
      </c>
      <c r="G64" t="s">
        <v>33</v>
      </c>
      <c r="H64" t="s">
        <v>33</v>
      </c>
      <c r="I64" t="s">
        <v>33</v>
      </c>
      <c r="J64" t="s">
        <v>40</v>
      </c>
      <c r="K64" t="s">
        <v>40</v>
      </c>
      <c r="L64">
        <v>25</v>
      </c>
      <c r="M64" t="s">
        <v>57</v>
      </c>
      <c r="N64" t="s">
        <v>42</v>
      </c>
      <c r="O64">
        <v>35</v>
      </c>
      <c r="P64">
        <v>5</v>
      </c>
      <c r="Q64">
        <v>11768000</v>
      </c>
      <c r="R64">
        <v>11613000</v>
      </c>
      <c r="S64" t="s">
        <v>9</v>
      </c>
    </row>
    <row r="65" spans="1:19" x14ac:dyDescent="0.35">
      <c r="A65" t="s">
        <v>166</v>
      </c>
      <c r="B65" t="s">
        <v>72</v>
      </c>
      <c r="C65" t="s">
        <v>37</v>
      </c>
      <c r="D65" t="s">
        <v>51</v>
      </c>
      <c r="E65" t="s">
        <v>165</v>
      </c>
      <c r="F65" t="str">
        <f>TEXT(Data[[#This Row],[Applied Date]],"mmmm")</f>
        <v>May</v>
      </c>
      <c r="G65" t="s">
        <v>33</v>
      </c>
      <c r="H65" t="s">
        <v>33</v>
      </c>
      <c r="I65" t="s">
        <v>33</v>
      </c>
      <c r="J65" t="s">
        <v>40</v>
      </c>
      <c r="K65" t="s">
        <v>40</v>
      </c>
      <c r="L65">
        <v>27</v>
      </c>
      <c r="M65" t="s">
        <v>25</v>
      </c>
      <c r="N65" t="s">
        <v>26</v>
      </c>
      <c r="O65">
        <v>35</v>
      </c>
      <c r="P65">
        <v>10</v>
      </c>
      <c r="Q65">
        <v>16944000</v>
      </c>
      <c r="R65">
        <v>16555000</v>
      </c>
      <c r="S65" t="s">
        <v>9</v>
      </c>
    </row>
    <row r="66" spans="1:19" x14ac:dyDescent="0.35">
      <c r="A66" t="s">
        <v>167</v>
      </c>
      <c r="B66" t="s">
        <v>29</v>
      </c>
      <c r="C66" t="s">
        <v>30</v>
      </c>
      <c r="D66" t="s">
        <v>51</v>
      </c>
      <c r="E66" t="s">
        <v>168</v>
      </c>
      <c r="F66" t="str">
        <f>TEXT(Data[[#This Row],[Applied Date]],"mmmm")</f>
        <v>January</v>
      </c>
      <c r="G66" t="s">
        <v>23</v>
      </c>
      <c r="H66" t="s">
        <v>24</v>
      </c>
      <c r="I66" t="s">
        <v>24</v>
      </c>
      <c r="J66" t="s">
        <v>24</v>
      </c>
      <c r="K66" t="s">
        <v>24</v>
      </c>
      <c r="M66" t="s">
        <v>25</v>
      </c>
      <c r="N66" t="s">
        <v>26</v>
      </c>
      <c r="O66">
        <v>27</v>
      </c>
      <c r="P66">
        <v>4</v>
      </c>
      <c r="Q66">
        <v>10105000</v>
      </c>
      <c r="S66" t="s">
        <v>27</v>
      </c>
    </row>
    <row r="67" spans="1:19" x14ac:dyDescent="0.35">
      <c r="A67" t="s">
        <v>169</v>
      </c>
      <c r="B67" t="s">
        <v>36</v>
      </c>
      <c r="C67" t="s">
        <v>37</v>
      </c>
      <c r="D67" t="s">
        <v>51</v>
      </c>
      <c r="E67" t="s">
        <v>170</v>
      </c>
      <c r="F67" t="str">
        <f>TEXT(Data[[#This Row],[Applied Date]],"mmmm")</f>
        <v>January</v>
      </c>
      <c r="G67" t="s">
        <v>23</v>
      </c>
      <c r="H67" t="s">
        <v>24</v>
      </c>
      <c r="I67" t="s">
        <v>24</v>
      </c>
      <c r="J67" t="s">
        <v>24</v>
      </c>
      <c r="K67" t="s">
        <v>24</v>
      </c>
      <c r="M67" t="s">
        <v>57</v>
      </c>
      <c r="N67" t="s">
        <v>26</v>
      </c>
      <c r="O67">
        <v>34</v>
      </c>
      <c r="P67">
        <v>4</v>
      </c>
      <c r="Q67">
        <v>10476000</v>
      </c>
      <c r="S67" t="s">
        <v>27</v>
      </c>
    </row>
    <row r="68" spans="1:19" x14ac:dyDescent="0.35">
      <c r="A68" t="s">
        <v>171</v>
      </c>
      <c r="B68" t="s">
        <v>66</v>
      </c>
      <c r="C68" t="s">
        <v>67</v>
      </c>
      <c r="D68" t="s">
        <v>38</v>
      </c>
      <c r="E68" t="s">
        <v>75</v>
      </c>
      <c r="F68" t="str">
        <f>TEXT(Data[[#This Row],[Applied Date]],"mmmm")</f>
        <v>May</v>
      </c>
      <c r="G68" t="s">
        <v>33</v>
      </c>
      <c r="H68" t="s">
        <v>33</v>
      </c>
      <c r="I68" t="s">
        <v>33</v>
      </c>
      <c r="J68" t="s">
        <v>40</v>
      </c>
      <c r="K68" t="s">
        <v>62</v>
      </c>
      <c r="L68">
        <v>18</v>
      </c>
      <c r="M68" t="s">
        <v>41</v>
      </c>
      <c r="N68" t="s">
        <v>42</v>
      </c>
      <c r="O68">
        <v>34</v>
      </c>
      <c r="P68">
        <v>5</v>
      </c>
      <c r="Q68">
        <v>11129000</v>
      </c>
      <c r="S68" t="s">
        <v>64</v>
      </c>
    </row>
    <row r="69" spans="1:19" x14ac:dyDescent="0.35">
      <c r="A69" t="s">
        <v>172</v>
      </c>
      <c r="B69" t="s">
        <v>82</v>
      </c>
      <c r="C69" t="s">
        <v>83</v>
      </c>
      <c r="D69" t="s">
        <v>38</v>
      </c>
      <c r="E69" t="s">
        <v>173</v>
      </c>
      <c r="F69" t="str">
        <f>TEXT(Data[[#This Row],[Applied Date]],"mmmm")</f>
        <v>March</v>
      </c>
      <c r="G69" t="s">
        <v>33</v>
      </c>
      <c r="H69" t="s">
        <v>33</v>
      </c>
      <c r="I69" t="s">
        <v>33</v>
      </c>
      <c r="J69" t="s">
        <v>40</v>
      </c>
      <c r="K69" t="s">
        <v>40</v>
      </c>
      <c r="L69">
        <v>16</v>
      </c>
      <c r="M69" t="s">
        <v>25</v>
      </c>
      <c r="N69" t="s">
        <v>26</v>
      </c>
      <c r="O69">
        <v>32</v>
      </c>
      <c r="P69">
        <v>0</v>
      </c>
      <c r="Q69">
        <v>5215000</v>
      </c>
      <c r="R69">
        <v>5142000</v>
      </c>
      <c r="S69" t="s">
        <v>9</v>
      </c>
    </row>
    <row r="70" spans="1:19" x14ac:dyDescent="0.35">
      <c r="A70" t="s">
        <v>174</v>
      </c>
      <c r="B70" t="s">
        <v>19</v>
      </c>
      <c r="C70" t="s">
        <v>20</v>
      </c>
      <c r="D70" t="s">
        <v>51</v>
      </c>
      <c r="E70" t="s">
        <v>94</v>
      </c>
      <c r="F70" t="str">
        <f>TEXT(Data[[#This Row],[Applied Date]],"mmmm")</f>
        <v>May</v>
      </c>
      <c r="G70" t="s">
        <v>33</v>
      </c>
      <c r="H70" t="s">
        <v>33</v>
      </c>
      <c r="I70" t="s">
        <v>33</v>
      </c>
      <c r="J70" t="s">
        <v>40</v>
      </c>
      <c r="K70" t="s">
        <v>62</v>
      </c>
      <c r="L70">
        <v>30</v>
      </c>
      <c r="M70" t="s">
        <v>34</v>
      </c>
      <c r="N70" t="s">
        <v>42</v>
      </c>
      <c r="O70">
        <v>21</v>
      </c>
      <c r="P70">
        <v>1</v>
      </c>
      <c r="Q70">
        <v>5954000</v>
      </c>
      <c r="S70" t="s">
        <v>64</v>
      </c>
    </row>
    <row r="71" spans="1:19" x14ac:dyDescent="0.35">
      <c r="A71" t="s">
        <v>175</v>
      </c>
      <c r="B71" t="s">
        <v>44</v>
      </c>
      <c r="C71" t="s">
        <v>45</v>
      </c>
      <c r="D71" t="s">
        <v>21</v>
      </c>
      <c r="E71" t="s">
        <v>176</v>
      </c>
      <c r="F71" t="str">
        <f>TEXT(Data[[#This Row],[Applied Date]],"mmmm")</f>
        <v>February</v>
      </c>
      <c r="G71" t="s">
        <v>33</v>
      </c>
      <c r="H71" t="s">
        <v>33</v>
      </c>
      <c r="I71" t="s">
        <v>23</v>
      </c>
      <c r="J71" t="s">
        <v>24</v>
      </c>
      <c r="K71" t="s">
        <v>24</v>
      </c>
      <c r="M71" t="s">
        <v>41</v>
      </c>
      <c r="N71" t="s">
        <v>42</v>
      </c>
      <c r="O71">
        <v>40</v>
      </c>
      <c r="P71">
        <v>4</v>
      </c>
      <c r="Q71">
        <v>9348000</v>
      </c>
      <c r="S71" t="s">
        <v>27</v>
      </c>
    </row>
    <row r="72" spans="1:19" x14ac:dyDescent="0.35">
      <c r="A72" t="s">
        <v>177</v>
      </c>
      <c r="B72" t="s">
        <v>82</v>
      </c>
      <c r="C72" t="s">
        <v>83</v>
      </c>
      <c r="D72" t="s">
        <v>21</v>
      </c>
      <c r="E72" t="s">
        <v>178</v>
      </c>
      <c r="F72" t="str">
        <f>TEXT(Data[[#This Row],[Applied Date]],"mmmm")</f>
        <v>April</v>
      </c>
      <c r="G72" t="s">
        <v>23</v>
      </c>
      <c r="H72" t="s">
        <v>24</v>
      </c>
      <c r="I72" t="s">
        <v>24</v>
      </c>
      <c r="J72" t="s">
        <v>24</v>
      </c>
      <c r="K72" t="s">
        <v>24</v>
      </c>
      <c r="M72" t="s">
        <v>34</v>
      </c>
      <c r="N72" t="s">
        <v>26</v>
      </c>
      <c r="O72">
        <v>26</v>
      </c>
      <c r="P72">
        <v>2</v>
      </c>
      <c r="Q72">
        <v>7354000</v>
      </c>
      <c r="S72" t="s">
        <v>27</v>
      </c>
    </row>
    <row r="73" spans="1:19" x14ac:dyDescent="0.35">
      <c r="A73" t="s">
        <v>179</v>
      </c>
      <c r="B73" t="s">
        <v>82</v>
      </c>
      <c r="C73" t="s">
        <v>83</v>
      </c>
      <c r="D73" t="s">
        <v>21</v>
      </c>
      <c r="E73" t="s">
        <v>39</v>
      </c>
      <c r="F73" t="str">
        <f>TEXT(Data[[#This Row],[Applied Date]],"mmmm")</f>
        <v>May</v>
      </c>
      <c r="G73" t="s">
        <v>33</v>
      </c>
      <c r="H73" t="s">
        <v>33</v>
      </c>
      <c r="I73" t="s">
        <v>33</v>
      </c>
      <c r="J73" t="s">
        <v>40</v>
      </c>
      <c r="K73" t="s">
        <v>40</v>
      </c>
      <c r="L73">
        <v>27</v>
      </c>
      <c r="M73" t="s">
        <v>34</v>
      </c>
      <c r="N73" t="s">
        <v>26</v>
      </c>
      <c r="O73">
        <v>40</v>
      </c>
      <c r="P73">
        <v>1</v>
      </c>
      <c r="Q73">
        <v>5916000</v>
      </c>
      <c r="R73">
        <v>5906000</v>
      </c>
      <c r="S73" t="s">
        <v>9</v>
      </c>
    </row>
    <row r="74" spans="1:19" x14ac:dyDescent="0.35">
      <c r="A74" t="s">
        <v>180</v>
      </c>
      <c r="B74" t="s">
        <v>72</v>
      </c>
      <c r="C74" t="s">
        <v>37</v>
      </c>
      <c r="D74" t="s">
        <v>79</v>
      </c>
      <c r="E74" t="s">
        <v>181</v>
      </c>
      <c r="F74" t="str">
        <f>TEXT(Data[[#This Row],[Applied Date]],"mmmm")</f>
        <v>March</v>
      </c>
      <c r="G74" t="s">
        <v>33</v>
      </c>
      <c r="H74" t="s">
        <v>23</v>
      </c>
      <c r="I74" t="s">
        <v>24</v>
      </c>
      <c r="J74" t="s">
        <v>24</v>
      </c>
      <c r="K74" t="s">
        <v>24</v>
      </c>
      <c r="M74" t="s">
        <v>57</v>
      </c>
      <c r="N74" t="s">
        <v>42</v>
      </c>
      <c r="O74">
        <v>23</v>
      </c>
      <c r="P74">
        <v>10</v>
      </c>
      <c r="Q74">
        <v>16968000</v>
      </c>
      <c r="S74" t="s">
        <v>27</v>
      </c>
    </row>
    <row r="75" spans="1:19" x14ac:dyDescent="0.35">
      <c r="A75" t="s">
        <v>182</v>
      </c>
      <c r="B75" t="s">
        <v>44</v>
      </c>
      <c r="C75" t="s">
        <v>45</v>
      </c>
      <c r="D75" t="s">
        <v>46</v>
      </c>
      <c r="E75" t="s">
        <v>183</v>
      </c>
      <c r="F75" t="str">
        <f>TEXT(Data[[#This Row],[Applied Date]],"mmmm")</f>
        <v>May</v>
      </c>
      <c r="G75" t="s">
        <v>23</v>
      </c>
      <c r="H75" t="s">
        <v>24</v>
      </c>
      <c r="I75" t="s">
        <v>24</v>
      </c>
      <c r="J75" t="s">
        <v>24</v>
      </c>
      <c r="K75" t="s">
        <v>24</v>
      </c>
      <c r="M75" t="s">
        <v>34</v>
      </c>
      <c r="N75" t="s">
        <v>42</v>
      </c>
      <c r="O75">
        <v>34</v>
      </c>
      <c r="P75">
        <v>8</v>
      </c>
      <c r="Q75">
        <v>15087000</v>
      </c>
      <c r="S75" t="s">
        <v>27</v>
      </c>
    </row>
    <row r="76" spans="1:19" x14ac:dyDescent="0.35">
      <c r="A76" t="s">
        <v>184</v>
      </c>
      <c r="B76" t="s">
        <v>29</v>
      </c>
      <c r="C76" t="s">
        <v>30</v>
      </c>
      <c r="D76" t="s">
        <v>31</v>
      </c>
      <c r="E76" t="s">
        <v>185</v>
      </c>
      <c r="F76" t="str">
        <f>TEXT(Data[[#This Row],[Applied Date]],"mmmm")</f>
        <v>January</v>
      </c>
      <c r="G76" t="s">
        <v>33</v>
      </c>
      <c r="H76" t="s">
        <v>23</v>
      </c>
      <c r="I76" t="s">
        <v>24</v>
      </c>
      <c r="J76" t="s">
        <v>24</v>
      </c>
      <c r="K76" t="s">
        <v>24</v>
      </c>
      <c r="M76" t="s">
        <v>57</v>
      </c>
      <c r="N76" t="s">
        <v>42</v>
      </c>
      <c r="O76">
        <v>40</v>
      </c>
      <c r="P76">
        <v>6</v>
      </c>
      <c r="Q76">
        <v>11738000</v>
      </c>
      <c r="S76" t="s">
        <v>27</v>
      </c>
    </row>
    <row r="77" spans="1:19" x14ac:dyDescent="0.35">
      <c r="A77" t="s">
        <v>186</v>
      </c>
      <c r="B77" t="s">
        <v>29</v>
      </c>
      <c r="C77" t="s">
        <v>30</v>
      </c>
      <c r="D77" t="s">
        <v>21</v>
      </c>
      <c r="E77" t="s">
        <v>187</v>
      </c>
      <c r="F77" t="str">
        <f>TEXT(Data[[#This Row],[Applied Date]],"mmmm")</f>
        <v>January</v>
      </c>
      <c r="G77" t="s">
        <v>33</v>
      </c>
      <c r="H77" t="s">
        <v>23</v>
      </c>
      <c r="I77" t="s">
        <v>24</v>
      </c>
      <c r="J77" t="s">
        <v>24</v>
      </c>
      <c r="K77" t="s">
        <v>24</v>
      </c>
      <c r="M77" t="s">
        <v>25</v>
      </c>
      <c r="N77" t="s">
        <v>42</v>
      </c>
      <c r="O77">
        <v>25</v>
      </c>
      <c r="P77">
        <v>2</v>
      </c>
      <c r="Q77">
        <v>7081000</v>
      </c>
      <c r="S77" t="s">
        <v>27</v>
      </c>
    </row>
    <row r="78" spans="1:19" x14ac:dyDescent="0.35">
      <c r="A78" t="s">
        <v>188</v>
      </c>
      <c r="B78" t="s">
        <v>19</v>
      </c>
      <c r="C78" t="s">
        <v>20</v>
      </c>
      <c r="D78" t="s">
        <v>51</v>
      </c>
      <c r="E78" t="s">
        <v>189</v>
      </c>
      <c r="F78" t="str">
        <f>TEXT(Data[[#This Row],[Applied Date]],"mmmm")</f>
        <v>March</v>
      </c>
      <c r="G78" t="s">
        <v>33</v>
      </c>
      <c r="H78" t="s">
        <v>33</v>
      </c>
      <c r="I78" t="s">
        <v>33</v>
      </c>
      <c r="J78" t="s">
        <v>40</v>
      </c>
      <c r="K78" t="s">
        <v>40</v>
      </c>
      <c r="L78">
        <v>25</v>
      </c>
      <c r="M78" t="s">
        <v>25</v>
      </c>
      <c r="N78" t="s">
        <v>42</v>
      </c>
      <c r="O78">
        <v>31</v>
      </c>
      <c r="P78">
        <v>0</v>
      </c>
      <c r="Q78">
        <v>4730000</v>
      </c>
      <c r="R78">
        <v>4639000</v>
      </c>
      <c r="S78" t="s">
        <v>9</v>
      </c>
    </row>
    <row r="79" spans="1:19" x14ac:dyDescent="0.35">
      <c r="A79" t="s">
        <v>190</v>
      </c>
      <c r="B79" t="s">
        <v>49</v>
      </c>
      <c r="C79" t="s">
        <v>50</v>
      </c>
      <c r="D79" t="s">
        <v>51</v>
      </c>
      <c r="E79" t="s">
        <v>191</v>
      </c>
      <c r="F79" t="str">
        <f>TEXT(Data[[#This Row],[Applied Date]],"mmmm")</f>
        <v>April</v>
      </c>
      <c r="G79" t="s">
        <v>33</v>
      </c>
      <c r="H79" t="s">
        <v>33</v>
      </c>
      <c r="I79" t="s">
        <v>33</v>
      </c>
      <c r="J79" t="s">
        <v>40</v>
      </c>
      <c r="K79" t="s">
        <v>40</v>
      </c>
      <c r="L79">
        <v>13</v>
      </c>
      <c r="M79" t="s">
        <v>63</v>
      </c>
      <c r="N79" t="s">
        <v>42</v>
      </c>
      <c r="O79">
        <v>31</v>
      </c>
      <c r="P79">
        <v>0</v>
      </c>
      <c r="Q79">
        <v>4704000</v>
      </c>
      <c r="R79">
        <v>4509000</v>
      </c>
      <c r="S79" t="s">
        <v>9</v>
      </c>
    </row>
    <row r="80" spans="1:19" x14ac:dyDescent="0.35">
      <c r="A80" t="s">
        <v>192</v>
      </c>
      <c r="B80" t="s">
        <v>36</v>
      </c>
      <c r="C80" t="s">
        <v>37</v>
      </c>
      <c r="D80" t="s">
        <v>31</v>
      </c>
      <c r="E80" t="s">
        <v>193</v>
      </c>
      <c r="F80" t="str">
        <f>TEXT(Data[[#This Row],[Applied Date]],"mmmm")</f>
        <v>February</v>
      </c>
      <c r="G80" t="s">
        <v>33</v>
      </c>
      <c r="H80" t="s">
        <v>23</v>
      </c>
      <c r="I80" t="s">
        <v>24</v>
      </c>
      <c r="J80" t="s">
        <v>24</v>
      </c>
      <c r="K80" t="s">
        <v>24</v>
      </c>
      <c r="M80" t="s">
        <v>57</v>
      </c>
      <c r="N80" t="s">
        <v>26</v>
      </c>
      <c r="O80">
        <v>32</v>
      </c>
      <c r="P80">
        <v>8</v>
      </c>
      <c r="Q80">
        <v>14940000</v>
      </c>
      <c r="S80" t="s">
        <v>27</v>
      </c>
    </row>
    <row r="81" spans="1:19" x14ac:dyDescent="0.35">
      <c r="A81" t="s">
        <v>194</v>
      </c>
      <c r="B81" t="s">
        <v>72</v>
      </c>
      <c r="C81" t="s">
        <v>37</v>
      </c>
      <c r="D81" t="s">
        <v>21</v>
      </c>
      <c r="E81" t="s">
        <v>195</v>
      </c>
      <c r="F81" t="str">
        <f>TEXT(Data[[#This Row],[Applied Date]],"mmmm")</f>
        <v>April</v>
      </c>
      <c r="G81" t="s">
        <v>33</v>
      </c>
      <c r="H81" t="s">
        <v>33</v>
      </c>
      <c r="I81" t="s">
        <v>33</v>
      </c>
      <c r="J81" t="s">
        <v>40</v>
      </c>
      <c r="K81" t="s">
        <v>40</v>
      </c>
      <c r="L81">
        <v>31</v>
      </c>
      <c r="M81" t="s">
        <v>63</v>
      </c>
      <c r="N81" t="s">
        <v>26</v>
      </c>
      <c r="O81">
        <v>26</v>
      </c>
      <c r="P81">
        <v>3</v>
      </c>
      <c r="Q81">
        <v>8867000</v>
      </c>
      <c r="R81">
        <v>8680000</v>
      </c>
      <c r="S81" t="s">
        <v>9</v>
      </c>
    </row>
    <row r="82" spans="1:19" x14ac:dyDescent="0.35">
      <c r="A82" t="s">
        <v>196</v>
      </c>
      <c r="B82" t="s">
        <v>44</v>
      </c>
      <c r="C82" t="s">
        <v>45</v>
      </c>
      <c r="D82" t="s">
        <v>21</v>
      </c>
      <c r="E82" t="s">
        <v>197</v>
      </c>
      <c r="F82" t="str">
        <f>TEXT(Data[[#This Row],[Applied Date]],"mmmm")</f>
        <v>June</v>
      </c>
      <c r="G82" t="s">
        <v>33</v>
      </c>
      <c r="H82" t="s">
        <v>33</v>
      </c>
      <c r="I82" t="s">
        <v>33</v>
      </c>
      <c r="J82" t="s">
        <v>40</v>
      </c>
      <c r="K82" t="s">
        <v>40</v>
      </c>
      <c r="L82">
        <v>23</v>
      </c>
      <c r="M82" t="s">
        <v>63</v>
      </c>
      <c r="N82" t="s">
        <v>42</v>
      </c>
      <c r="O82">
        <v>22</v>
      </c>
      <c r="P82">
        <v>1</v>
      </c>
      <c r="Q82">
        <v>5708000</v>
      </c>
      <c r="R82">
        <v>5588000</v>
      </c>
      <c r="S82" t="s">
        <v>9</v>
      </c>
    </row>
    <row r="83" spans="1:19" x14ac:dyDescent="0.35">
      <c r="A83" t="s">
        <v>198</v>
      </c>
      <c r="B83" t="s">
        <v>36</v>
      </c>
      <c r="C83" t="s">
        <v>37</v>
      </c>
      <c r="D83" t="s">
        <v>79</v>
      </c>
      <c r="E83" t="s">
        <v>199</v>
      </c>
      <c r="F83" t="str">
        <f>TEXT(Data[[#This Row],[Applied Date]],"mmmm")</f>
        <v>February</v>
      </c>
      <c r="G83" t="s">
        <v>33</v>
      </c>
      <c r="H83" t="s">
        <v>33</v>
      </c>
      <c r="I83" t="s">
        <v>33</v>
      </c>
      <c r="J83" t="s">
        <v>40</v>
      </c>
      <c r="K83" t="s">
        <v>40</v>
      </c>
      <c r="L83">
        <v>19</v>
      </c>
      <c r="M83" t="s">
        <v>63</v>
      </c>
      <c r="N83" t="s">
        <v>26</v>
      </c>
      <c r="O83">
        <v>28</v>
      </c>
      <c r="P83">
        <v>0</v>
      </c>
      <c r="Q83">
        <v>5711000</v>
      </c>
      <c r="R83">
        <v>5586000</v>
      </c>
      <c r="S83" t="s">
        <v>9</v>
      </c>
    </row>
    <row r="84" spans="1:19" x14ac:dyDescent="0.35">
      <c r="A84" t="s">
        <v>200</v>
      </c>
      <c r="B84" t="s">
        <v>72</v>
      </c>
      <c r="C84" t="s">
        <v>37</v>
      </c>
      <c r="D84" t="s">
        <v>46</v>
      </c>
      <c r="E84" t="s">
        <v>201</v>
      </c>
      <c r="F84" t="str">
        <f>TEXT(Data[[#This Row],[Applied Date]],"mmmm")</f>
        <v>February</v>
      </c>
      <c r="G84" t="s">
        <v>33</v>
      </c>
      <c r="H84" t="s">
        <v>23</v>
      </c>
      <c r="I84" t="s">
        <v>24</v>
      </c>
      <c r="J84" t="s">
        <v>24</v>
      </c>
      <c r="K84" t="s">
        <v>24</v>
      </c>
      <c r="M84" t="s">
        <v>57</v>
      </c>
      <c r="N84" t="s">
        <v>42</v>
      </c>
      <c r="O84">
        <v>29</v>
      </c>
      <c r="P84">
        <v>3</v>
      </c>
      <c r="Q84">
        <v>8179000</v>
      </c>
      <c r="S84" t="s">
        <v>27</v>
      </c>
    </row>
    <row r="85" spans="1:19" x14ac:dyDescent="0.35">
      <c r="A85" t="s">
        <v>202</v>
      </c>
      <c r="B85" t="s">
        <v>29</v>
      </c>
      <c r="C85" t="s">
        <v>30</v>
      </c>
      <c r="D85" t="s">
        <v>31</v>
      </c>
      <c r="E85" t="s">
        <v>203</v>
      </c>
      <c r="F85" t="str">
        <f>TEXT(Data[[#This Row],[Applied Date]],"mmmm")</f>
        <v>May</v>
      </c>
      <c r="G85" t="s">
        <v>33</v>
      </c>
      <c r="H85" t="s">
        <v>33</v>
      </c>
      <c r="I85" t="s">
        <v>33</v>
      </c>
      <c r="J85" t="s">
        <v>40</v>
      </c>
      <c r="K85" t="s">
        <v>40</v>
      </c>
      <c r="L85">
        <v>19</v>
      </c>
      <c r="M85" t="s">
        <v>63</v>
      </c>
      <c r="N85" t="s">
        <v>42</v>
      </c>
      <c r="O85">
        <v>33</v>
      </c>
      <c r="P85">
        <v>10</v>
      </c>
      <c r="Q85">
        <v>17474000</v>
      </c>
      <c r="R85">
        <v>17307000</v>
      </c>
      <c r="S85" t="s">
        <v>9</v>
      </c>
    </row>
    <row r="86" spans="1:19" x14ac:dyDescent="0.35">
      <c r="A86" t="s">
        <v>204</v>
      </c>
      <c r="B86" t="s">
        <v>66</v>
      </c>
      <c r="C86" t="s">
        <v>67</v>
      </c>
      <c r="D86" t="s">
        <v>46</v>
      </c>
      <c r="E86" t="s">
        <v>205</v>
      </c>
      <c r="F86" t="str">
        <f>TEXT(Data[[#This Row],[Applied Date]],"mmmm")</f>
        <v>June</v>
      </c>
      <c r="G86" t="s">
        <v>33</v>
      </c>
      <c r="H86" t="s">
        <v>33</v>
      </c>
      <c r="I86" t="s">
        <v>33</v>
      </c>
      <c r="J86" t="s">
        <v>40</v>
      </c>
      <c r="K86" t="s">
        <v>40</v>
      </c>
      <c r="L86">
        <v>13</v>
      </c>
      <c r="M86" t="s">
        <v>57</v>
      </c>
      <c r="N86" t="s">
        <v>26</v>
      </c>
      <c r="O86">
        <v>24</v>
      </c>
      <c r="P86">
        <v>7</v>
      </c>
      <c r="Q86">
        <v>14196000</v>
      </c>
      <c r="R86">
        <v>14181000</v>
      </c>
      <c r="S86" t="s">
        <v>9</v>
      </c>
    </row>
    <row r="87" spans="1:19" x14ac:dyDescent="0.35">
      <c r="A87" t="s">
        <v>206</v>
      </c>
      <c r="B87" t="s">
        <v>72</v>
      </c>
      <c r="C87" t="s">
        <v>37</v>
      </c>
      <c r="D87" t="s">
        <v>31</v>
      </c>
      <c r="E87" t="s">
        <v>148</v>
      </c>
      <c r="F87" t="str">
        <f>TEXT(Data[[#This Row],[Applied Date]],"mmmm")</f>
        <v>June</v>
      </c>
      <c r="G87" t="s">
        <v>33</v>
      </c>
      <c r="H87" t="s">
        <v>23</v>
      </c>
      <c r="I87" t="s">
        <v>24</v>
      </c>
      <c r="J87" t="s">
        <v>24</v>
      </c>
      <c r="K87" t="s">
        <v>24</v>
      </c>
      <c r="M87" t="s">
        <v>25</v>
      </c>
      <c r="N87" t="s">
        <v>42</v>
      </c>
      <c r="O87">
        <v>26</v>
      </c>
      <c r="P87">
        <v>7</v>
      </c>
      <c r="Q87">
        <v>13769000</v>
      </c>
      <c r="S87" t="s">
        <v>27</v>
      </c>
    </row>
    <row r="88" spans="1:19" x14ac:dyDescent="0.35">
      <c r="A88" t="s">
        <v>207</v>
      </c>
      <c r="B88" t="s">
        <v>49</v>
      </c>
      <c r="C88" t="s">
        <v>50</v>
      </c>
      <c r="D88" t="s">
        <v>51</v>
      </c>
      <c r="E88" t="s">
        <v>208</v>
      </c>
      <c r="F88" t="str">
        <f>TEXT(Data[[#This Row],[Applied Date]],"mmmm")</f>
        <v>January</v>
      </c>
      <c r="G88" t="s">
        <v>33</v>
      </c>
      <c r="H88" t="s">
        <v>23</v>
      </c>
      <c r="I88" t="s">
        <v>24</v>
      </c>
      <c r="J88" t="s">
        <v>24</v>
      </c>
      <c r="K88" t="s">
        <v>24</v>
      </c>
      <c r="M88" t="s">
        <v>57</v>
      </c>
      <c r="N88" t="s">
        <v>42</v>
      </c>
      <c r="O88">
        <v>40</v>
      </c>
      <c r="P88">
        <v>4</v>
      </c>
      <c r="Q88">
        <v>10076000</v>
      </c>
      <c r="S88" t="s">
        <v>27</v>
      </c>
    </row>
    <row r="89" spans="1:19" x14ac:dyDescent="0.35">
      <c r="A89" t="s">
        <v>209</v>
      </c>
      <c r="B89" t="s">
        <v>49</v>
      </c>
      <c r="C89" t="s">
        <v>50</v>
      </c>
      <c r="D89" t="s">
        <v>79</v>
      </c>
      <c r="E89" t="s">
        <v>210</v>
      </c>
      <c r="F89" t="str">
        <f>TEXT(Data[[#This Row],[Applied Date]],"mmmm")</f>
        <v>March</v>
      </c>
      <c r="G89" t="s">
        <v>33</v>
      </c>
      <c r="H89" t="s">
        <v>33</v>
      </c>
      <c r="I89" t="s">
        <v>33</v>
      </c>
      <c r="J89" t="s">
        <v>40</v>
      </c>
      <c r="K89" t="s">
        <v>40</v>
      </c>
      <c r="L89">
        <v>29</v>
      </c>
      <c r="M89" t="s">
        <v>25</v>
      </c>
      <c r="N89" t="s">
        <v>26</v>
      </c>
      <c r="O89">
        <v>33</v>
      </c>
      <c r="P89">
        <v>0</v>
      </c>
      <c r="Q89">
        <v>5310000</v>
      </c>
      <c r="R89">
        <v>5247000</v>
      </c>
      <c r="S89" t="s">
        <v>9</v>
      </c>
    </row>
    <row r="90" spans="1:19" x14ac:dyDescent="0.35">
      <c r="A90" t="s">
        <v>211</v>
      </c>
      <c r="B90" t="s">
        <v>72</v>
      </c>
      <c r="C90" t="s">
        <v>37</v>
      </c>
      <c r="D90" t="s">
        <v>38</v>
      </c>
      <c r="E90" t="s">
        <v>212</v>
      </c>
      <c r="F90" t="str">
        <f>TEXT(Data[[#This Row],[Applied Date]],"mmmm")</f>
        <v>May</v>
      </c>
      <c r="G90" t="s">
        <v>33</v>
      </c>
      <c r="H90" t="s">
        <v>33</v>
      </c>
      <c r="I90" t="s">
        <v>23</v>
      </c>
      <c r="J90" t="s">
        <v>24</v>
      </c>
      <c r="K90" t="s">
        <v>24</v>
      </c>
      <c r="M90" t="s">
        <v>57</v>
      </c>
      <c r="N90" t="s">
        <v>42</v>
      </c>
      <c r="O90">
        <v>21</v>
      </c>
      <c r="P90">
        <v>2</v>
      </c>
      <c r="Q90">
        <v>7074000</v>
      </c>
      <c r="S90" t="s">
        <v>27</v>
      </c>
    </row>
    <row r="91" spans="1:19" x14ac:dyDescent="0.35">
      <c r="A91" t="s">
        <v>213</v>
      </c>
      <c r="B91" t="s">
        <v>29</v>
      </c>
      <c r="C91" t="s">
        <v>30</v>
      </c>
      <c r="D91" t="s">
        <v>79</v>
      </c>
      <c r="E91" t="s">
        <v>77</v>
      </c>
      <c r="F91" t="str">
        <f>TEXT(Data[[#This Row],[Applied Date]],"mmmm")</f>
        <v>May</v>
      </c>
      <c r="G91" t="s">
        <v>33</v>
      </c>
      <c r="H91" t="s">
        <v>33</v>
      </c>
      <c r="I91" t="s">
        <v>23</v>
      </c>
      <c r="J91" t="s">
        <v>24</v>
      </c>
      <c r="K91" t="s">
        <v>24</v>
      </c>
      <c r="M91" t="s">
        <v>57</v>
      </c>
      <c r="N91" t="s">
        <v>26</v>
      </c>
      <c r="O91">
        <v>34</v>
      </c>
      <c r="P91">
        <v>9</v>
      </c>
      <c r="Q91">
        <v>15595000</v>
      </c>
      <c r="S91" t="s">
        <v>27</v>
      </c>
    </row>
    <row r="92" spans="1:19" x14ac:dyDescent="0.35">
      <c r="A92" t="s">
        <v>214</v>
      </c>
      <c r="B92" t="s">
        <v>44</v>
      </c>
      <c r="C92" t="s">
        <v>45</v>
      </c>
      <c r="D92" t="s">
        <v>79</v>
      </c>
      <c r="E92" t="s">
        <v>215</v>
      </c>
      <c r="F92" t="str">
        <f>TEXT(Data[[#This Row],[Applied Date]],"mmmm")</f>
        <v>April</v>
      </c>
      <c r="G92" t="s">
        <v>33</v>
      </c>
      <c r="H92" t="s">
        <v>23</v>
      </c>
      <c r="I92" t="s">
        <v>24</v>
      </c>
      <c r="J92" t="s">
        <v>24</v>
      </c>
      <c r="K92" t="s">
        <v>24</v>
      </c>
      <c r="M92" t="s">
        <v>34</v>
      </c>
      <c r="N92" t="s">
        <v>26</v>
      </c>
      <c r="O92">
        <v>35</v>
      </c>
      <c r="P92">
        <v>9</v>
      </c>
      <c r="Q92">
        <v>16581000</v>
      </c>
      <c r="S92" t="s">
        <v>27</v>
      </c>
    </row>
    <row r="93" spans="1:19" x14ac:dyDescent="0.35">
      <c r="A93" t="s">
        <v>216</v>
      </c>
      <c r="B93" t="s">
        <v>29</v>
      </c>
      <c r="C93" t="s">
        <v>30</v>
      </c>
      <c r="D93" t="s">
        <v>51</v>
      </c>
      <c r="E93" t="s">
        <v>217</v>
      </c>
      <c r="F93" t="str">
        <f>TEXT(Data[[#This Row],[Applied Date]],"mmmm")</f>
        <v>April</v>
      </c>
      <c r="G93" t="s">
        <v>33</v>
      </c>
      <c r="H93" t="s">
        <v>33</v>
      </c>
      <c r="I93" t="s">
        <v>33</v>
      </c>
      <c r="J93" t="s">
        <v>40</v>
      </c>
      <c r="K93" t="s">
        <v>40</v>
      </c>
      <c r="L93">
        <v>22</v>
      </c>
      <c r="M93" t="s">
        <v>25</v>
      </c>
      <c r="N93" t="s">
        <v>42</v>
      </c>
      <c r="O93">
        <v>25</v>
      </c>
      <c r="P93">
        <v>5</v>
      </c>
      <c r="Q93">
        <v>11731000</v>
      </c>
      <c r="R93">
        <v>11177000</v>
      </c>
      <c r="S93" t="s">
        <v>9</v>
      </c>
    </row>
    <row r="94" spans="1:19" x14ac:dyDescent="0.35">
      <c r="A94" t="s">
        <v>218</v>
      </c>
      <c r="B94" t="s">
        <v>29</v>
      </c>
      <c r="C94" t="s">
        <v>30</v>
      </c>
      <c r="D94" t="s">
        <v>31</v>
      </c>
      <c r="E94" t="s">
        <v>219</v>
      </c>
      <c r="F94" t="str">
        <f>TEXT(Data[[#This Row],[Applied Date]],"mmmm")</f>
        <v>January</v>
      </c>
      <c r="G94" t="s">
        <v>33</v>
      </c>
      <c r="H94" t="s">
        <v>33</v>
      </c>
      <c r="I94" t="s">
        <v>33</v>
      </c>
      <c r="J94" t="s">
        <v>40</v>
      </c>
      <c r="K94" t="s">
        <v>40</v>
      </c>
      <c r="L94">
        <v>28</v>
      </c>
      <c r="M94" t="s">
        <v>63</v>
      </c>
      <c r="N94" t="s">
        <v>26</v>
      </c>
      <c r="O94">
        <v>28</v>
      </c>
      <c r="P94">
        <v>0</v>
      </c>
      <c r="Q94">
        <v>4565000</v>
      </c>
      <c r="R94">
        <v>4539000</v>
      </c>
      <c r="S94" t="s">
        <v>9</v>
      </c>
    </row>
    <row r="95" spans="1:19" x14ac:dyDescent="0.35">
      <c r="A95" t="s">
        <v>220</v>
      </c>
      <c r="B95" t="s">
        <v>66</v>
      </c>
      <c r="C95" t="s">
        <v>67</v>
      </c>
      <c r="D95" t="s">
        <v>38</v>
      </c>
      <c r="E95" t="s">
        <v>187</v>
      </c>
      <c r="F95" t="str">
        <f>TEXT(Data[[#This Row],[Applied Date]],"mmmm")</f>
        <v>January</v>
      </c>
      <c r="G95" t="s">
        <v>23</v>
      </c>
      <c r="H95" t="s">
        <v>24</v>
      </c>
      <c r="I95" t="s">
        <v>24</v>
      </c>
      <c r="J95" t="s">
        <v>24</v>
      </c>
      <c r="K95" t="s">
        <v>24</v>
      </c>
      <c r="M95" t="s">
        <v>34</v>
      </c>
      <c r="N95" t="s">
        <v>26</v>
      </c>
      <c r="O95">
        <v>23</v>
      </c>
      <c r="P95">
        <v>6</v>
      </c>
      <c r="Q95">
        <v>11974000</v>
      </c>
      <c r="S95" t="s">
        <v>27</v>
      </c>
    </row>
    <row r="96" spans="1:19" x14ac:dyDescent="0.35">
      <c r="A96" t="s">
        <v>221</v>
      </c>
      <c r="B96" t="s">
        <v>66</v>
      </c>
      <c r="C96" t="s">
        <v>67</v>
      </c>
      <c r="D96" t="s">
        <v>31</v>
      </c>
      <c r="E96" t="s">
        <v>133</v>
      </c>
      <c r="F96" t="str">
        <f>TEXT(Data[[#This Row],[Applied Date]],"mmmm")</f>
        <v>June</v>
      </c>
      <c r="G96" t="s">
        <v>33</v>
      </c>
      <c r="H96" t="s">
        <v>33</v>
      </c>
      <c r="I96" t="s">
        <v>33</v>
      </c>
      <c r="J96" t="s">
        <v>40</v>
      </c>
      <c r="K96" t="s">
        <v>62</v>
      </c>
      <c r="L96">
        <v>13</v>
      </c>
      <c r="M96" t="s">
        <v>41</v>
      </c>
      <c r="N96" t="s">
        <v>42</v>
      </c>
      <c r="O96">
        <v>37</v>
      </c>
      <c r="P96">
        <v>10</v>
      </c>
      <c r="Q96">
        <v>16919000</v>
      </c>
      <c r="S96" t="s">
        <v>64</v>
      </c>
    </row>
    <row r="97" spans="1:19" x14ac:dyDescent="0.35">
      <c r="A97" t="s">
        <v>222</v>
      </c>
      <c r="B97" t="s">
        <v>72</v>
      </c>
      <c r="C97" t="s">
        <v>37</v>
      </c>
      <c r="D97" t="s">
        <v>38</v>
      </c>
      <c r="E97" t="s">
        <v>223</v>
      </c>
      <c r="F97" t="str">
        <f>TEXT(Data[[#This Row],[Applied Date]],"mmmm")</f>
        <v>June</v>
      </c>
      <c r="G97" t="s">
        <v>33</v>
      </c>
      <c r="H97" t="s">
        <v>33</v>
      </c>
      <c r="I97" t="s">
        <v>23</v>
      </c>
      <c r="J97" t="s">
        <v>24</v>
      </c>
      <c r="K97" t="s">
        <v>24</v>
      </c>
      <c r="M97" t="s">
        <v>63</v>
      </c>
      <c r="N97" t="s">
        <v>42</v>
      </c>
      <c r="O97">
        <v>34</v>
      </c>
      <c r="P97">
        <v>6</v>
      </c>
      <c r="Q97">
        <v>12010000</v>
      </c>
      <c r="S97" t="s">
        <v>27</v>
      </c>
    </row>
    <row r="98" spans="1:19" x14ac:dyDescent="0.35">
      <c r="A98" t="s">
        <v>224</v>
      </c>
      <c r="B98" t="s">
        <v>44</v>
      </c>
      <c r="C98" t="s">
        <v>45</v>
      </c>
      <c r="D98" t="s">
        <v>79</v>
      </c>
      <c r="E98" t="s">
        <v>225</v>
      </c>
      <c r="F98" t="str">
        <f>TEXT(Data[[#This Row],[Applied Date]],"mmmm")</f>
        <v>May</v>
      </c>
      <c r="G98" t="s">
        <v>33</v>
      </c>
      <c r="H98" t="s">
        <v>23</v>
      </c>
      <c r="I98" t="s">
        <v>24</v>
      </c>
      <c r="J98" t="s">
        <v>24</v>
      </c>
      <c r="K98" t="s">
        <v>24</v>
      </c>
      <c r="M98" t="s">
        <v>34</v>
      </c>
      <c r="N98" t="s">
        <v>42</v>
      </c>
      <c r="O98">
        <v>30</v>
      </c>
      <c r="P98">
        <v>4</v>
      </c>
      <c r="Q98">
        <v>10435000</v>
      </c>
      <c r="S98" t="s">
        <v>27</v>
      </c>
    </row>
    <row r="99" spans="1:19" x14ac:dyDescent="0.35">
      <c r="A99" t="s">
        <v>226</v>
      </c>
      <c r="B99" t="s">
        <v>82</v>
      </c>
      <c r="C99" t="s">
        <v>83</v>
      </c>
      <c r="D99" t="s">
        <v>51</v>
      </c>
      <c r="E99" t="s">
        <v>227</v>
      </c>
      <c r="F99" t="str">
        <f>TEXT(Data[[#This Row],[Applied Date]],"mmmm")</f>
        <v>April</v>
      </c>
      <c r="G99" t="s">
        <v>33</v>
      </c>
      <c r="H99" t="s">
        <v>23</v>
      </c>
      <c r="I99" t="s">
        <v>24</v>
      </c>
      <c r="J99" t="s">
        <v>24</v>
      </c>
      <c r="K99" t="s">
        <v>24</v>
      </c>
      <c r="M99" t="s">
        <v>25</v>
      </c>
      <c r="N99" t="s">
        <v>42</v>
      </c>
      <c r="O99">
        <v>24</v>
      </c>
      <c r="P99">
        <v>10</v>
      </c>
      <c r="Q99">
        <v>17343000</v>
      </c>
      <c r="S99" t="s">
        <v>27</v>
      </c>
    </row>
    <row r="100" spans="1:19" x14ac:dyDescent="0.35">
      <c r="A100" t="s">
        <v>228</v>
      </c>
      <c r="B100" t="s">
        <v>72</v>
      </c>
      <c r="C100" t="s">
        <v>37</v>
      </c>
      <c r="D100" t="s">
        <v>79</v>
      </c>
      <c r="E100" t="s">
        <v>229</v>
      </c>
      <c r="F100" t="str">
        <f>TEXT(Data[[#This Row],[Applied Date]],"mmmm")</f>
        <v>February</v>
      </c>
      <c r="G100" t="s">
        <v>33</v>
      </c>
      <c r="H100" t="s">
        <v>33</v>
      </c>
      <c r="I100" t="s">
        <v>33</v>
      </c>
      <c r="J100" t="s">
        <v>40</v>
      </c>
      <c r="K100" t="s">
        <v>40</v>
      </c>
      <c r="L100">
        <v>29</v>
      </c>
      <c r="M100" t="s">
        <v>34</v>
      </c>
      <c r="N100" t="s">
        <v>42</v>
      </c>
      <c r="O100">
        <v>39</v>
      </c>
      <c r="P100">
        <v>1</v>
      </c>
      <c r="Q100">
        <v>5983000</v>
      </c>
      <c r="R100">
        <v>5945000</v>
      </c>
      <c r="S100" t="s">
        <v>9</v>
      </c>
    </row>
    <row r="101" spans="1:19" x14ac:dyDescent="0.35">
      <c r="A101" t="s">
        <v>230</v>
      </c>
      <c r="B101" t="s">
        <v>36</v>
      </c>
      <c r="C101" t="s">
        <v>37</v>
      </c>
      <c r="D101" t="s">
        <v>31</v>
      </c>
      <c r="E101" t="s">
        <v>231</v>
      </c>
      <c r="F101" t="str">
        <f>TEXT(Data[[#This Row],[Applied Date]],"mmmm")</f>
        <v>March</v>
      </c>
      <c r="G101" t="s">
        <v>33</v>
      </c>
      <c r="H101" t="s">
        <v>33</v>
      </c>
      <c r="I101" t="s">
        <v>23</v>
      </c>
      <c r="J101" t="s">
        <v>24</v>
      </c>
      <c r="K101" t="s">
        <v>24</v>
      </c>
      <c r="M101" t="s">
        <v>63</v>
      </c>
      <c r="N101" t="s">
        <v>26</v>
      </c>
      <c r="O101">
        <v>36</v>
      </c>
      <c r="P101">
        <v>2</v>
      </c>
      <c r="Q101">
        <v>7505000</v>
      </c>
      <c r="S101" t="s">
        <v>27</v>
      </c>
    </row>
    <row r="102" spans="1:19" x14ac:dyDescent="0.35">
      <c r="A102" t="s">
        <v>232</v>
      </c>
      <c r="B102" t="s">
        <v>29</v>
      </c>
      <c r="C102" t="s">
        <v>30</v>
      </c>
      <c r="D102" t="s">
        <v>51</v>
      </c>
      <c r="E102" t="s">
        <v>173</v>
      </c>
      <c r="F102" t="str">
        <f>TEXT(Data[[#This Row],[Applied Date]],"mmmm")</f>
        <v>March</v>
      </c>
      <c r="G102" t="s">
        <v>33</v>
      </c>
      <c r="H102" t="s">
        <v>23</v>
      </c>
      <c r="I102" t="s">
        <v>24</v>
      </c>
      <c r="J102" t="s">
        <v>24</v>
      </c>
      <c r="K102" t="s">
        <v>24</v>
      </c>
      <c r="M102" t="s">
        <v>25</v>
      </c>
      <c r="N102" t="s">
        <v>26</v>
      </c>
      <c r="O102">
        <v>23</v>
      </c>
      <c r="P102">
        <v>5</v>
      </c>
      <c r="Q102">
        <v>10920000</v>
      </c>
      <c r="S102" t="s">
        <v>27</v>
      </c>
    </row>
    <row r="103" spans="1:19" x14ac:dyDescent="0.35">
      <c r="A103" t="s">
        <v>233</v>
      </c>
      <c r="B103" t="s">
        <v>44</v>
      </c>
      <c r="C103" t="s">
        <v>45</v>
      </c>
      <c r="D103" t="s">
        <v>46</v>
      </c>
      <c r="E103" t="s">
        <v>227</v>
      </c>
      <c r="F103" t="str">
        <f>TEXT(Data[[#This Row],[Applied Date]],"mmmm")</f>
        <v>April</v>
      </c>
      <c r="G103" t="s">
        <v>33</v>
      </c>
      <c r="H103" t="s">
        <v>33</v>
      </c>
      <c r="I103" t="s">
        <v>33</v>
      </c>
      <c r="J103" t="s">
        <v>40</v>
      </c>
      <c r="K103" t="s">
        <v>40</v>
      </c>
      <c r="L103">
        <v>15</v>
      </c>
      <c r="M103" t="s">
        <v>25</v>
      </c>
      <c r="N103" t="s">
        <v>26</v>
      </c>
      <c r="O103">
        <v>31</v>
      </c>
      <c r="P103">
        <v>1</v>
      </c>
      <c r="Q103">
        <v>6416000</v>
      </c>
      <c r="R103">
        <v>6207000</v>
      </c>
      <c r="S103" t="s">
        <v>9</v>
      </c>
    </row>
    <row r="104" spans="1:19" x14ac:dyDescent="0.35">
      <c r="A104" t="s">
        <v>234</v>
      </c>
      <c r="B104" t="s">
        <v>36</v>
      </c>
      <c r="C104" t="s">
        <v>37</v>
      </c>
      <c r="D104" t="s">
        <v>38</v>
      </c>
      <c r="E104" t="s">
        <v>235</v>
      </c>
      <c r="F104" t="str">
        <f>TEXT(Data[[#This Row],[Applied Date]],"mmmm")</f>
        <v>May</v>
      </c>
      <c r="G104" t="s">
        <v>33</v>
      </c>
      <c r="H104" t="s">
        <v>33</v>
      </c>
      <c r="I104" t="s">
        <v>33</v>
      </c>
      <c r="J104" t="s">
        <v>40</v>
      </c>
      <c r="K104" t="s">
        <v>62</v>
      </c>
      <c r="L104">
        <v>26</v>
      </c>
      <c r="M104" t="s">
        <v>34</v>
      </c>
      <c r="N104" t="s">
        <v>42</v>
      </c>
      <c r="O104">
        <v>26</v>
      </c>
      <c r="P104">
        <v>1</v>
      </c>
      <c r="Q104">
        <v>6140000</v>
      </c>
      <c r="S104" t="s">
        <v>64</v>
      </c>
    </row>
    <row r="105" spans="1:19" x14ac:dyDescent="0.35">
      <c r="A105" t="s">
        <v>236</v>
      </c>
      <c r="B105" t="s">
        <v>29</v>
      </c>
      <c r="C105" t="s">
        <v>30</v>
      </c>
      <c r="D105" t="s">
        <v>38</v>
      </c>
      <c r="E105" t="s">
        <v>237</v>
      </c>
      <c r="F105" t="str">
        <f>TEXT(Data[[#This Row],[Applied Date]],"mmmm")</f>
        <v>February</v>
      </c>
      <c r="G105" t="s">
        <v>23</v>
      </c>
      <c r="H105" t="s">
        <v>24</v>
      </c>
      <c r="I105" t="s">
        <v>24</v>
      </c>
      <c r="J105" t="s">
        <v>24</v>
      </c>
      <c r="K105" t="s">
        <v>24</v>
      </c>
      <c r="M105" t="s">
        <v>57</v>
      </c>
      <c r="N105" t="s">
        <v>26</v>
      </c>
      <c r="O105">
        <v>26</v>
      </c>
      <c r="P105">
        <v>10</v>
      </c>
      <c r="Q105">
        <v>16619000</v>
      </c>
      <c r="S105" t="s">
        <v>27</v>
      </c>
    </row>
    <row r="106" spans="1:19" x14ac:dyDescent="0.35">
      <c r="A106" t="s">
        <v>238</v>
      </c>
      <c r="B106" t="s">
        <v>66</v>
      </c>
      <c r="C106" t="s">
        <v>67</v>
      </c>
      <c r="D106" t="s">
        <v>31</v>
      </c>
      <c r="E106" t="s">
        <v>239</v>
      </c>
      <c r="F106" t="str">
        <f>TEXT(Data[[#This Row],[Applied Date]],"mmmm")</f>
        <v>January</v>
      </c>
      <c r="G106" t="s">
        <v>23</v>
      </c>
      <c r="H106" t="s">
        <v>24</v>
      </c>
      <c r="I106" t="s">
        <v>24</v>
      </c>
      <c r="J106" t="s">
        <v>24</v>
      </c>
      <c r="K106" t="s">
        <v>24</v>
      </c>
      <c r="M106" t="s">
        <v>57</v>
      </c>
      <c r="N106" t="s">
        <v>42</v>
      </c>
      <c r="O106">
        <v>31</v>
      </c>
      <c r="P106">
        <v>2</v>
      </c>
      <c r="Q106">
        <v>7139000</v>
      </c>
      <c r="S106" t="s">
        <v>27</v>
      </c>
    </row>
    <row r="107" spans="1:19" x14ac:dyDescent="0.35">
      <c r="A107" t="s">
        <v>240</v>
      </c>
      <c r="B107" t="s">
        <v>82</v>
      </c>
      <c r="C107" t="s">
        <v>83</v>
      </c>
      <c r="D107" t="s">
        <v>38</v>
      </c>
      <c r="E107" t="s">
        <v>141</v>
      </c>
      <c r="F107" t="str">
        <f>TEXT(Data[[#This Row],[Applied Date]],"mmmm")</f>
        <v>January</v>
      </c>
      <c r="G107" t="s">
        <v>23</v>
      </c>
      <c r="H107" t="s">
        <v>24</v>
      </c>
      <c r="I107" t="s">
        <v>24</v>
      </c>
      <c r="J107" t="s">
        <v>24</v>
      </c>
      <c r="K107" t="s">
        <v>24</v>
      </c>
      <c r="M107" t="s">
        <v>63</v>
      </c>
      <c r="N107" t="s">
        <v>42</v>
      </c>
      <c r="O107">
        <v>28</v>
      </c>
      <c r="P107">
        <v>8</v>
      </c>
      <c r="Q107">
        <v>14877000</v>
      </c>
      <c r="S107" t="s">
        <v>27</v>
      </c>
    </row>
    <row r="108" spans="1:19" x14ac:dyDescent="0.35">
      <c r="A108" t="s">
        <v>241</v>
      </c>
      <c r="B108" t="s">
        <v>82</v>
      </c>
      <c r="C108" t="s">
        <v>83</v>
      </c>
      <c r="D108" t="s">
        <v>21</v>
      </c>
      <c r="E108" t="s">
        <v>242</v>
      </c>
      <c r="F108" t="str">
        <f>TEXT(Data[[#This Row],[Applied Date]],"mmmm")</f>
        <v>April</v>
      </c>
      <c r="G108" t="s">
        <v>33</v>
      </c>
      <c r="H108" t="s">
        <v>33</v>
      </c>
      <c r="I108" t="s">
        <v>33</v>
      </c>
      <c r="J108" t="s">
        <v>40</v>
      </c>
      <c r="K108" t="s">
        <v>40</v>
      </c>
      <c r="L108">
        <v>32</v>
      </c>
      <c r="M108" t="s">
        <v>63</v>
      </c>
      <c r="N108" t="s">
        <v>26</v>
      </c>
      <c r="O108">
        <v>40</v>
      </c>
      <c r="P108">
        <v>3</v>
      </c>
      <c r="Q108">
        <v>8776000</v>
      </c>
      <c r="R108">
        <v>8670000</v>
      </c>
      <c r="S108" t="s">
        <v>9</v>
      </c>
    </row>
    <row r="109" spans="1:19" x14ac:dyDescent="0.35">
      <c r="A109" t="s">
        <v>243</v>
      </c>
      <c r="B109" t="s">
        <v>36</v>
      </c>
      <c r="C109" t="s">
        <v>37</v>
      </c>
      <c r="D109" t="s">
        <v>46</v>
      </c>
      <c r="E109" t="s">
        <v>203</v>
      </c>
      <c r="F109" t="str">
        <f>TEXT(Data[[#This Row],[Applied Date]],"mmmm")</f>
        <v>May</v>
      </c>
      <c r="G109" t="s">
        <v>33</v>
      </c>
      <c r="H109" t="s">
        <v>33</v>
      </c>
      <c r="I109" t="s">
        <v>33</v>
      </c>
      <c r="J109" t="s">
        <v>40</v>
      </c>
      <c r="K109" t="s">
        <v>40</v>
      </c>
      <c r="L109">
        <v>27</v>
      </c>
      <c r="M109" t="s">
        <v>34</v>
      </c>
      <c r="N109" t="s">
        <v>42</v>
      </c>
      <c r="O109">
        <v>33</v>
      </c>
      <c r="P109">
        <v>7</v>
      </c>
      <c r="Q109">
        <v>13053000</v>
      </c>
      <c r="R109">
        <v>12628000</v>
      </c>
      <c r="S109" t="s">
        <v>9</v>
      </c>
    </row>
    <row r="110" spans="1:19" x14ac:dyDescent="0.35">
      <c r="A110" t="s">
        <v>244</v>
      </c>
      <c r="B110" t="s">
        <v>44</v>
      </c>
      <c r="C110" t="s">
        <v>45</v>
      </c>
      <c r="D110" t="s">
        <v>21</v>
      </c>
      <c r="E110" t="s">
        <v>245</v>
      </c>
      <c r="F110" t="str">
        <f>TEXT(Data[[#This Row],[Applied Date]],"mmmm")</f>
        <v>January</v>
      </c>
      <c r="G110" t="s">
        <v>33</v>
      </c>
      <c r="H110" t="s">
        <v>33</v>
      </c>
      <c r="I110" t="s">
        <v>33</v>
      </c>
      <c r="J110" t="s">
        <v>40</v>
      </c>
      <c r="K110" t="s">
        <v>40</v>
      </c>
      <c r="L110">
        <v>35</v>
      </c>
      <c r="M110" t="s">
        <v>34</v>
      </c>
      <c r="N110" t="s">
        <v>26</v>
      </c>
      <c r="O110">
        <v>25</v>
      </c>
      <c r="P110">
        <v>5</v>
      </c>
      <c r="Q110">
        <v>10938000</v>
      </c>
      <c r="R110">
        <v>10646000</v>
      </c>
      <c r="S110" t="s">
        <v>9</v>
      </c>
    </row>
    <row r="111" spans="1:19" x14ac:dyDescent="0.35">
      <c r="A111" t="s">
        <v>246</v>
      </c>
      <c r="B111" t="s">
        <v>19</v>
      </c>
      <c r="C111" t="s">
        <v>20</v>
      </c>
      <c r="D111" t="s">
        <v>31</v>
      </c>
      <c r="E111" t="s">
        <v>247</v>
      </c>
      <c r="F111" t="str">
        <f>TEXT(Data[[#This Row],[Applied Date]],"mmmm")</f>
        <v>March</v>
      </c>
      <c r="G111" t="s">
        <v>23</v>
      </c>
      <c r="H111" t="s">
        <v>24</v>
      </c>
      <c r="I111" t="s">
        <v>24</v>
      </c>
      <c r="J111" t="s">
        <v>24</v>
      </c>
      <c r="K111" t="s">
        <v>24</v>
      </c>
      <c r="M111" t="s">
        <v>57</v>
      </c>
      <c r="N111" t="s">
        <v>42</v>
      </c>
      <c r="O111">
        <v>29</v>
      </c>
      <c r="P111">
        <v>8</v>
      </c>
      <c r="Q111">
        <v>15186000</v>
      </c>
      <c r="S111" t="s">
        <v>27</v>
      </c>
    </row>
    <row r="112" spans="1:19" x14ac:dyDescent="0.35">
      <c r="A112" t="s">
        <v>248</v>
      </c>
      <c r="B112" t="s">
        <v>29</v>
      </c>
      <c r="C112" t="s">
        <v>30</v>
      </c>
      <c r="D112" t="s">
        <v>79</v>
      </c>
      <c r="E112" t="s">
        <v>249</v>
      </c>
      <c r="F112" t="str">
        <f>TEXT(Data[[#This Row],[Applied Date]],"mmmm")</f>
        <v>January</v>
      </c>
      <c r="G112" t="s">
        <v>23</v>
      </c>
      <c r="H112" t="s">
        <v>24</v>
      </c>
      <c r="I112" t="s">
        <v>24</v>
      </c>
      <c r="J112" t="s">
        <v>24</v>
      </c>
      <c r="K112" t="s">
        <v>24</v>
      </c>
      <c r="M112" t="s">
        <v>41</v>
      </c>
      <c r="N112" t="s">
        <v>26</v>
      </c>
      <c r="O112">
        <v>30</v>
      </c>
      <c r="P112">
        <v>4</v>
      </c>
      <c r="Q112">
        <v>10072000</v>
      </c>
      <c r="S112" t="s">
        <v>27</v>
      </c>
    </row>
    <row r="113" spans="1:19" x14ac:dyDescent="0.35">
      <c r="A113" t="s">
        <v>250</v>
      </c>
      <c r="B113" t="s">
        <v>82</v>
      </c>
      <c r="C113" t="s">
        <v>83</v>
      </c>
      <c r="D113" t="s">
        <v>21</v>
      </c>
      <c r="E113" t="s">
        <v>251</v>
      </c>
      <c r="F113" t="str">
        <f>TEXT(Data[[#This Row],[Applied Date]],"mmmm")</f>
        <v>April</v>
      </c>
      <c r="G113" t="s">
        <v>33</v>
      </c>
      <c r="H113" t="s">
        <v>33</v>
      </c>
      <c r="I113" t="s">
        <v>33</v>
      </c>
      <c r="J113" t="s">
        <v>40</v>
      </c>
      <c r="K113" t="s">
        <v>40</v>
      </c>
      <c r="L113">
        <v>22</v>
      </c>
      <c r="M113" t="s">
        <v>57</v>
      </c>
      <c r="N113" t="s">
        <v>42</v>
      </c>
      <c r="O113">
        <v>38</v>
      </c>
      <c r="P113">
        <v>7</v>
      </c>
      <c r="Q113">
        <v>13741000</v>
      </c>
      <c r="R113">
        <v>13124000</v>
      </c>
      <c r="S113" t="s">
        <v>9</v>
      </c>
    </row>
    <row r="114" spans="1:19" x14ac:dyDescent="0.35">
      <c r="A114" t="s">
        <v>252</v>
      </c>
      <c r="B114" t="s">
        <v>19</v>
      </c>
      <c r="C114" t="s">
        <v>20</v>
      </c>
      <c r="D114" t="s">
        <v>51</v>
      </c>
      <c r="E114" t="s">
        <v>148</v>
      </c>
      <c r="F114" t="str">
        <f>TEXT(Data[[#This Row],[Applied Date]],"mmmm")</f>
        <v>June</v>
      </c>
      <c r="G114" t="s">
        <v>33</v>
      </c>
      <c r="H114" t="s">
        <v>23</v>
      </c>
      <c r="I114" t="s">
        <v>24</v>
      </c>
      <c r="J114" t="s">
        <v>24</v>
      </c>
      <c r="K114" t="s">
        <v>24</v>
      </c>
      <c r="M114" t="s">
        <v>63</v>
      </c>
      <c r="N114" t="s">
        <v>26</v>
      </c>
      <c r="O114">
        <v>38</v>
      </c>
      <c r="P114">
        <v>5</v>
      </c>
      <c r="Q114">
        <v>10778000</v>
      </c>
      <c r="S114" t="s">
        <v>27</v>
      </c>
    </row>
    <row r="115" spans="1:19" x14ac:dyDescent="0.35">
      <c r="A115" t="s">
        <v>253</v>
      </c>
      <c r="B115" t="s">
        <v>44</v>
      </c>
      <c r="C115" t="s">
        <v>45</v>
      </c>
      <c r="D115" t="s">
        <v>31</v>
      </c>
      <c r="E115" t="s">
        <v>39</v>
      </c>
      <c r="F115" t="str">
        <f>TEXT(Data[[#This Row],[Applied Date]],"mmmm")</f>
        <v>May</v>
      </c>
      <c r="G115" t="s">
        <v>33</v>
      </c>
      <c r="H115" t="s">
        <v>33</v>
      </c>
      <c r="I115" t="s">
        <v>33</v>
      </c>
      <c r="J115" t="s">
        <v>40</v>
      </c>
      <c r="K115" t="s">
        <v>40</v>
      </c>
      <c r="L115">
        <v>21</v>
      </c>
      <c r="M115" t="s">
        <v>25</v>
      </c>
      <c r="N115" t="s">
        <v>42</v>
      </c>
      <c r="O115">
        <v>32</v>
      </c>
      <c r="P115">
        <v>7</v>
      </c>
      <c r="Q115">
        <v>14099000</v>
      </c>
      <c r="R115">
        <v>13562000</v>
      </c>
      <c r="S115" t="s">
        <v>9</v>
      </c>
    </row>
    <row r="116" spans="1:19" x14ac:dyDescent="0.35">
      <c r="A116" t="s">
        <v>254</v>
      </c>
      <c r="B116" t="s">
        <v>29</v>
      </c>
      <c r="C116" t="s">
        <v>30</v>
      </c>
      <c r="D116" t="s">
        <v>38</v>
      </c>
      <c r="E116" t="s">
        <v>255</v>
      </c>
      <c r="F116" t="str">
        <f>TEXT(Data[[#This Row],[Applied Date]],"mmmm")</f>
        <v>March</v>
      </c>
      <c r="G116" t="s">
        <v>33</v>
      </c>
      <c r="H116" t="s">
        <v>33</v>
      </c>
      <c r="I116" t="s">
        <v>33</v>
      </c>
      <c r="J116" t="s">
        <v>40</v>
      </c>
      <c r="K116" t="s">
        <v>40</v>
      </c>
      <c r="L116">
        <v>17</v>
      </c>
      <c r="M116" t="s">
        <v>25</v>
      </c>
      <c r="N116" t="s">
        <v>26</v>
      </c>
      <c r="O116">
        <v>25</v>
      </c>
      <c r="P116">
        <v>8</v>
      </c>
      <c r="Q116">
        <v>14641000</v>
      </c>
      <c r="R116">
        <v>13948000</v>
      </c>
      <c r="S116" t="s">
        <v>9</v>
      </c>
    </row>
    <row r="117" spans="1:19" x14ac:dyDescent="0.35">
      <c r="A117" t="s">
        <v>256</v>
      </c>
      <c r="B117" t="s">
        <v>29</v>
      </c>
      <c r="C117" t="s">
        <v>30</v>
      </c>
      <c r="D117" t="s">
        <v>46</v>
      </c>
      <c r="E117" t="s">
        <v>257</v>
      </c>
      <c r="F117" t="str">
        <f>TEXT(Data[[#This Row],[Applied Date]],"mmmm")</f>
        <v>February</v>
      </c>
      <c r="G117" t="s">
        <v>33</v>
      </c>
      <c r="H117" t="s">
        <v>33</v>
      </c>
      <c r="I117" t="s">
        <v>33</v>
      </c>
      <c r="J117" t="s">
        <v>40</v>
      </c>
      <c r="K117" t="s">
        <v>40</v>
      </c>
      <c r="L117">
        <v>21</v>
      </c>
      <c r="M117" t="s">
        <v>25</v>
      </c>
      <c r="N117" t="s">
        <v>26</v>
      </c>
      <c r="O117">
        <v>27</v>
      </c>
      <c r="P117">
        <v>7</v>
      </c>
      <c r="Q117">
        <v>13190000</v>
      </c>
      <c r="R117">
        <v>13162000</v>
      </c>
      <c r="S117" t="s">
        <v>9</v>
      </c>
    </row>
    <row r="118" spans="1:19" x14ac:dyDescent="0.35">
      <c r="A118" t="s">
        <v>258</v>
      </c>
      <c r="B118" t="s">
        <v>29</v>
      </c>
      <c r="C118" t="s">
        <v>30</v>
      </c>
      <c r="D118" t="s">
        <v>38</v>
      </c>
      <c r="E118" t="s">
        <v>259</v>
      </c>
      <c r="F118" t="str">
        <f>TEXT(Data[[#This Row],[Applied Date]],"mmmm")</f>
        <v>January</v>
      </c>
      <c r="G118" t="s">
        <v>33</v>
      </c>
      <c r="H118" t="s">
        <v>33</v>
      </c>
      <c r="I118" t="s">
        <v>23</v>
      </c>
      <c r="J118" t="s">
        <v>24</v>
      </c>
      <c r="K118" t="s">
        <v>24</v>
      </c>
      <c r="M118" t="s">
        <v>34</v>
      </c>
      <c r="N118" t="s">
        <v>42</v>
      </c>
      <c r="O118">
        <v>39</v>
      </c>
      <c r="P118">
        <v>3</v>
      </c>
      <c r="Q118">
        <v>8161000</v>
      </c>
      <c r="S118" t="s">
        <v>27</v>
      </c>
    </row>
    <row r="119" spans="1:19" x14ac:dyDescent="0.35">
      <c r="A119" t="s">
        <v>260</v>
      </c>
      <c r="B119" t="s">
        <v>19</v>
      </c>
      <c r="C119" t="s">
        <v>20</v>
      </c>
      <c r="D119" t="s">
        <v>31</v>
      </c>
      <c r="E119" t="s">
        <v>191</v>
      </c>
      <c r="F119" t="str">
        <f>TEXT(Data[[#This Row],[Applied Date]],"mmmm")</f>
        <v>April</v>
      </c>
      <c r="G119" t="s">
        <v>33</v>
      </c>
      <c r="H119" t="s">
        <v>23</v>
      </c>
      <c r="I119" t="s">
        <v>24</v>
      </c>
      <c r="J119" t="s">
        <v>24</v>
      </c>
      <c r="K119" t="s">
        <v>24</v>
      </c>
      <c r="M119" t="s">
        <v>41</v>
      </c>
      <c r="N119" t="s">
        <v>42</v>
      </c>
      <c r="O119">
        <v>33</v>
      </c>
      <c r="P119">
        <v>8</v>
      </c>
      <c r="Q119">
        <v>14602000</v>
      </c>
      <c r="S119" t="s">
        <v>27</v>
      </c>
    </row>
    <row r="120" spans="1:19" x14ac:dyDescent="0.35">
      <c r="A120" t="s">
        <v>261</v>
      </c>
      <c r="B120" t="s">
        <v>66</v>
      </c>
      <c r="C120" t="s">
        <v>67</v>
      </c>
      <c r="D120" t="s">
        <v>38</v>
      </c>
      <c r="E120" t="s">
        <v>262</v>
      </c>
      <c r="F120" t="str">
        <f>TEXT(Data[[#This Row],[Applied Date]],"mmmm")</f>
        <v>March</v>
      </c>
      <c r="G120" t="s">
        <v>23</v>
      </c>
      <c r="H120" t="s">
        <v>24</v>
      </c>
      <c r="I120" t="s">
        <v>24</v>
      </c>
      <c r="J120" t="s">
        <v>24</v>
      </c>
      <c r="K120" t="s">
        <v>24</v>
      </c>
      <c r="M120" t="s">
        <v>41</v>
      </c>
      <c r="N120" t="s">
        <v>42</v>
      </c>
      <c r="O120">
        <v>36</v>
      </c>
      <c r="P120">
        <v>1</v>
      </c>
      <c r="Q120">
        <v>6783000</v>
      </c>
      <c r="S120" t="s">
        <v>27</v>
      </c>
    </row>
    <row r="121" spans="1:19" x14ac:dyDescent="0.35">
      <c r="A121" t="s">
        <v>263</v>
      </c>
      <c r="B121" t="s">
        <v>36</v>
      </c>
      <c r="C121" t="s">
        <v>37</v>
      </c>
      <c r="D121" t="s">
        <v>21</v>
      </c>
      <c r="E121" t="s">
        <v>264</v>
      </c>
      <c r="F121" t="str">
        <f>TEXT(Data[[#This Row],[Applied Date]],"mmmm")</f>
        <v>June</v>
      </c>
      <c r="G121" t="s">
        <v>23</v>
      </c>
      <c r="H121" t="s">
        <v>24</v>
      </c>
      <c r="I121" t="s">
        <v>24</v>
      </c>
      <c r="J121" t="s">
        <v>24</v>
      </c>
      <c r="K121" t="s">
        <v>24</v>
      </c>
      <c r="M121" t="s">
        <v>41</v>
      </c>
      <c r="N121" t="s">
        <v>42</v>
      </c>
      <c r="O121">
        <v>21</v>
      </c>
      <c r="P121">
        <v>10</v>
      </c>
      <c r="Q121">
        <v>16818000</v>
      </c>
      <c r="S121" t="s">
        <v>27</v>
      </c>
    </row>
    <row r="122" spans="1:19" x14ac:dyDescent="0.35">
      <c r="A122" t="s">
        <v>265</v>
      </c>
      <c r="B122" t="s">
        <v>66</v>
      </c>
      <c r="C122" t="s">
        <v>67</v>
      </c>
      <c r="D122" t="s">
        <v>38</v>
      </c>
      <c r="E122" t="s">
        <v>266</v>
      </c>
      <c r="F122" t="str">
        <f>TEXT(Data[[#This Row],[Applied Date]],"mmmm")</f>
        <v>February</v>
      </c>
      <c r="G122" t="s">
        <v>33</v>
      </c>
      <c r="H122" t="s">
        <v>33</v>
      </c>
      <c r="I122" t="s">
        <v>23</v>
      </c>
      <c r="J122" t="s">
        <v>24</v>
      </c>
      <c r="K122" t="s">
        <v>24</v>
      </c>
      <c r="M122" t="s">
        <v>34</v>
      </c>
      <c r="N122" t="s">
        <v>42</v>
      </c>
      <c r="O122">
        <v>26</v>
      </c>
      <c r="P122">
        <v>4</v>
      </c>
      <c r="Q122">
        <v>9465000</v>
      </c>
      <c r="S122" t="s">
        <v>27</v>
      </c>
    </row>
    <row r="123" spans="1:19" x14ac:dyDescent="0.35">
      <c r="A123" t="s">
        <v>267</v>
      </c>
      <c r="B123" t="s">
        <v>29</v>
      </c>
      <c r="C123" t="s">
        <v>30</v>
      </c>
      <c r="D123" t="s">
        <v>31</v>
      </c>
      <c r="E123" t="s">
        <v>131</v>
      </c>
      <c r="F123" t="str">
        <f>TEXT(Data[[#This Row],[Applied Date]],"mmmm")</f>
        <v>April</v>
      </c>
      <c r="G123" t="s">
        <v>33</v>
      </c>
      <c r="H123" t="s">
        <v>33</v>
      </c>
      <c r="I123" t="s">
        <v>33</v>
      </c>
      <c r="J123" t="s">
        <v>40</v>
      </c>
      <c r="K123" t="s">
        <v>40</v>
      </c>
      <c r="L123">
        <v>15</v>
      </c>
      <c r="M123" t="s">
        <v>25</v>
      </c>
      <c r="N123" t="s">
        <v>42</v>
      </c>
      <c r="O123">
        <v>36</v>
      </c>
      <c r="P123">
        <v>7</v>
      </c>
      <c r="Q123">
        <v>12931000</v>
      </c>
      <c r="R123">
        <v>12811000</v>
      </c>
      <c r="S123" t="s">
        <v>9</v>
      </c>
    </row>
    <row r="124" spans="1:19" x14ac:dyDescent="0.35">
      <c r="A124" t="s">
        <v>268</v>
      </c>
      <c r="B124" t="s">
        <v>19</v>
      </c>
      <c r="C124" t="s">
        <v>20</v>
      </c>
      <c r="D124" t="s">
        <v>38</v>
      </c>
      <c r="E124" t="s">
        <v>269</v>
      </c>
      <c r="F124" t="str">
        <f>TEXT(Data[[#This Row],[Applied Date]],"mmmm")</f>
        <v>May</v>
      </c>
      <c r="G124" t="s">
        <v>33</v>
      </c>
      <c r="H124" t="s">
        <v>33</v>
      </c>
      <c r="I124" t="s">
        <v>33</v>
      </c>
      <c r="J124" t="s">
        <v>40</v>
      </c>
      <c r="K124" t="s">
        <v>40</v>
      </c>
      <c r="L124">
        <v>26</v>
      </c>
      <c r="M124" t="s">
        <v>57</v>
      </c>
      <c r="N124" t="s">
        <v>26</v>
      </c>
      <c r="O124">
        <v>26</v>
      </c>
      <c r="P124">
        <v>9</v>
      </c>
      <c r="Q124">
        <v>15491000</v>
      </c>
      <c r="R124">
        <v>15262000</v>
      </c>
      <c r="S124" t="s">
        <v>9</v>
      </c>
    </row>
    <row r="125" spans="1:19" x14ac:dyDescent="0.35">
      <c r="A125" t="s">
        <v>270</v>
      </c>
      <c r="B125" t="s">
        <v>29</v>
      </c>
      <c r="C125" t="s">
        <v>30</v>
      </c>
      <c r="D125" t="s">
        <v>46</v>
      </c>
      <c r="E125" t="s">
        <v>271</v>
      </c>
      <c r="F125" t="str">
        <f>TEXT(Data[[#This Row],[Applied Date]],"mmmm")</f>
        <v>April</v>
      </c>
      <c r="G125" t="s">
        <v>23</v>
      </c>
      <c r="H125" t="s">
        <v>24</v>
      </c>
      <c r="I125" t="s">
        <v>24</v>
      </c>
      <c r="J125" t="s">
        <v>24</v>
      </c>
      <c r="K125" t="s">
        <v>24</v>
      </c>
      <c r="M125" t="s">
        <v>25</v>
      </c>
      <c r="N125" t="s">
        <v>42</v>
      </c>
      <c r="O125">
        <v>30</v>
      </c>
      <c r="P125">
        <v>3</v>
      </c>
      <c r="Q125">
        <v>8891000</v>
      </c>
      <c r="S125" t="s">
        <v>27</v>
      </c>
    </row>
    <row r="126" spans="1:19" x14ac:dyDescent="0.35">
      <c r="A126" t="s">
        <v>272</v>
      </c>
      <c r="B126" t="s">
        <v>19</v>
      </c>
      <c r="C126" t="s">
        <v>20</v>
      </c>
      <c r="D126" t="s">
        <v>31</v>
      </c>
      <c r="E126" t="s">
        <v>273</v>
      </c>
      <c r="F126" t="str">
        <f>TEXT(Data[[#This Row],[Applied Date]],"mmmm")</f>
        <v>March</v>
      </c>
      <c r="G126" t="s">
        <v>33</v>
      </c>
      <c r="H126" t="s">
        <v>33</v>
      </c>
      <c r="I126" t="s">
        <v>33</v>
      </c>
      <c r="J126" t="s">
        <v>40</v>
      </c>
      <c r="K126" t="s">
        <v>40</v>
      </c>
      <c r="L126">
        <v>22</v>
      </c>
      <c r="M126" t="s">
        <v>57</v>
      </c>
      <c r="N126" t="s">
        <v>26</v>
      </c>
      <c r="O126">
        <v>22</v>
      </c>
      <c r="P126">
        <v>4</v>
      </c>
      <c r="Q126">
        <v>10299000</v>
      </c>
      <c r="R126">
        <v>10055000</v>
      </c>
      <c r="S126" t="s">
        <v>9</v>
      </c>
    </row>
    <row r="127" spans="1:19" x14ac:dyDescent="0.35">
      <c r="A127" t="s">
        <v>274</v>
      </c>
      <c r="B127" t="s">
        <v>49</v>
      </c>
      <c r="C127" t="s">
        <v>50</v>
      </c>
      <c r="D127" t="s">
        <v>38</v>
      </c>
      <c r="E127" t="s">
        <v>54</v>
      </c>
      <c r="F127" t="str">
        <f>TEXT(Data[[#This Row],[Applied Date]],"mmmm")</f>
        <v>February</v>
      </c>
      <c r="G127" t="s">
        <v>33</v>
      </c>
      <c r="H127" t="s">
        <v>33</v>
      </c>
      <c r="I127" t="s">
        <v>33</v>
      </c>
      <c r="J127" t="s">
        <v>40</v>
      </c>
      <c r="K127" t="s">
        <v>40</v>
      </c>
      <c r="L127">
        <v>27</v>
      </c>
      <c r="M127" t="s">
        <v>57</v>
      </c>
      <c r="N127" t="s">
        <v>42</v>
      </c>
      <c r="O127">
        <v>34</v>
      </c>
      <c r="P127">
        <v>2</v>
      </c>
      <c r="Q127">
        <v>7027000</v>
      </c>
      <c r="R127">
        <v>6740000</v>
      </c>
      <c r="S127" t="s">
        <v>9</v>
      </c>
    </row>
    <row r="128" spans="1:19" x14ac:dyDescent="0.35">
      <c r="A128" t="s">
        <v>275</v>
      </c>
      <c r="B128" t="s">
        <v>72</v>
      </c>
      <c r="C128" t="s">
        <v>37</v>
      </c>
      <c r="D128" t="s">
        <v>46</v>
      </c>
      <c r="E128" t="s">
        <v>225</v>
      </c>
      <c r="F128" t="str">
        <f>TEXT(Data[[#This Row],[Applied Date]],"mmmm")</f>
        <v>May</v>
      </c>
      <c r="G128" t="s">
        <v>23</v>
      </c>
      <c r="H128" t="s">
        <v>24</v>
      </c>
      <c r="I128" t="s">
        <v>24</v>
      </c>
      <c r="J128" t="s">
        <v>24</v>
      </c>
      <c r="K128" t="s">
        <v>24</v>
      </c>
      <c r="M128" t="s">
        <v>63</v>
      </c>
      <c r="N128" t="s">
        <v>26</v>
      </c>
      <c r="O128">
        <v>21</v>
      </c>
      <c r="P128">
        <v>1</v>
      </c>
      <c r="Q128">
        <v>6779000</v>
      </c>
      <c r="S128" t="s">
        <v>27</v>
      </c>
    </row>
    <row r="129" spans="1:19" x14ac:dyDescent="0.35">
      <c r="A129" t="s">
        <v>276</v>
      </c>
      <c r="B129" t="s">
        <v>66</v>
      </c>
      <c r="C129" t="s">
        <v>67</v>
      </c>
      <c r="D129" t="s">
        <v>21</v>
      </c>
      <c r="E129" t="s">
        <v>61</v>
      </c>
      <c r="F129" t="str">
        <f>TEXT(Data[[#This Row],[Applied Date]],"mmmm")</f>
        <v>March</v>
      </c>
      <c r="G129" t="s">
        <v>33</v>
      </c>
      <c r="H129" t="s">
        <v>23</v>
      </c>
      <c r="I129" t="s">
        <v>24</v>
      </c>
      <c r="J129" t="s">
        <v>24</v>
      </c>
      <c r="K129" t="s">
        <v>24</v>
      </c>
      <c r="M129" t="s">
        <v>41</v>
      </c>
      <c r="N129" t="s">
        <v>26</v>
      </c>
      <c r="O129">
        <v>34</v>
      </c>
      <c r="P129">
        <v>2</v>
      </c>
      <c r="Q129">
        <v>7671000</v>
      </c>
      <c r="S129" t="s">
        <v>27</v>
      </c>
    </row>
    <row r="130" spans="1:19" x14ac:dyDescent="0.35">
      <c r="A130" t="s">
        <v>277</v>
      </c>
      <c r="B130" t="s">
        <v>19</v>
      </c>
      <c r="C130" t="s">
        <v>20</v>
      </c>
      <c r="D130" t="s">
        <v>79</v>
      </c>
      <c r="E130" t="s">
        <v>278</v>
      </c>
      <c r="F130" t="str">
        <f>TEXT(Data[[#This Row],[Applied Date]],"mmmm")</f>
        <v>January</v>
      </c>
      <c r="G130" t="s">
        <v>23</v>
      </c>
      <c r="H130" t="s">
        <v>24</v>
      </c>
      <c r="I130" t="s">
        <v>24</v>
      </c>
      <c r="J130" t="s">
        <v>24</v>
      </c>
      <c r="K130" t="s">
        <v>24</v>
      </c>
      <c r="M130" t="s">
        <v>34</v>
      </c>
      <c r="N130" t="s">
        <v>42</v>
      </c>
      <c r="O130">
        <v>22</v>
      </c>
      <c r="P130">
        <v>7</v>
      </c>
      <c r="Q130">
        <v>13683000</v>
      </c>
      <c r="S130" t="s">
        <v>27</v>
      </c>
    </row>
    <row r="131" spans="1:19" x14ac:dyDescent="0.35">
      <c r="A131" t="s">
        <v>279</v>
      </c>
      <c r="B131" t="s">
        <v>72</v>
      </c>
      <c r="C131" t="s">
        <v>37</v>
      </c>
      <c r="D131" t="s">
        <v>31</v>
      </c>
      <c r="E131" t="s">
        <v>159</v>
      </c>
      <c r="F131" t="str">
        <f>TEXT(Data[[#This Row],[Applied Date]],"mmmm")</f>
        <v>April</v>
      </c>
      <c r="G131" t="s">
        <v>33</v>
      </c>
      <c r="H131" t="s">
        <v>33</v>
      </c>
      <c r="I131" t="s">
        <v>33</v>
      </c>
      <c r="J131" t="s">
        <v>40</v>
      </c>
      <c r="K131" t="s">
        <v>40</v>
      </c>
      <c r="L131">
        <v>26</v>
      </c>
      <c r="M131" t="s">
        <v>34</v>
      </c>
      <c r="N131" t="s">
        <v>42</v>
      </c>
      <c r="O131">
        <v>39</v>
      </c>
      <c r="P131">
        <v>10</v>
      </c>
      <c r="Q131">
        <v>16858000</v>
      </c>
      <c r="R131">
        <v>16794000</v>
      </c>
      <c r="S131" t="s">
        <v>9</v>
      </c>
    </row>
    <row r="132" spans="1:19" x14ac:dyDescent="0.35">
      <c r="A132" t="s">
        <v>280</v>
      </c>
      <c r="B132" t="s">
        <v>29</v>
      </c>
      <c r="C132" t="s">
        <v>30</v>
      </c>
      <c r="D132" t="s">
        <v>21</v>
      </c>
      <c r="E132" t="s">
        <v>281</v>
      </c>
      <c r="F132" t="str">
        <f>TEXT(Data[[#This Row],[Applied Date]],"mmmm")</f>
        <v>May</v>
      </c>
      <c r="G132" t="s">
        <v>33</v>
      </c>
      <c r="H132" t="s">
        <v>33</v>
      </c>
      <c r="I132" t="s">
        <v>33</v>
      </c>
      <c r="J132" t="s">
        <v>40</v>
      </c>
      <c r="K132" t="s">
        <v>40</v>
      </c>
      <c r="L132">
        <v>28</v>
      </c>
      <c r="M132" t="s">
        <v>41</v>
      </c>
      <c r="N132" t="s">
        <v>42</v>
      </c>
      <c r="O132">
        <v>37</v>
      </c>
      <c r="P132">
        <v>8</v>
      </c>
      <c r="Q132">
        <v>14642000</v>
      </c>
      <c r="R132">
        <v>14570000</v>
      </c>
      <c r="S132" t="s">
        <v>9</v>
      </c>
    </row>
    <row r="133" spans="1:19" x14ac:dyDescent="0.35">
      <c r="A133" t="s">
        <v>282</v>
      </c>
      <c r="B133" t="s">
        <v>29</v>
      </c>
      <c r="C133" t="s">
        <v>30</v>
      </c>
      <c r="D133" t="s">
        <v>51</v>
      </c>
      <c r="E133" t="s">
        <v>283</v>
      </c>
      <c r="F133" t="str">
        <f>TEXT(Data[[#This Row],[Applied Date]],"mmmm")</f>
        <v>March</v>
      </c>
      <c r="G133" t="s">
        <v>23</v>
      </c>
      <c r="H133" t="s">
        <v>24</v>
      </c>
      <c r="I133" t="s">
        <v>24</v>
      </c>
      <c r="J133" t="s">
        <v>24</v>
      </c>
      <c r="K133" t="s">
        <v>24</v>
      </c>
      <c r="M133" t="s">
        <v>63</v>
      </c>
      <c r="N133" t="s">
        <v>42</v>
      </c>
      <c r="O133">
        <v>34</v>
      </c>
      <c r="P133">
        <v>3</v>
      </c>
      <c r="Q133">
        <v>8651000</v>
      </c>
      <c r="S133" t="s">
        <v>27</v>
      </c>
    </row>
    <row r="134" spans="1:19" x14ac:dyDescent="0.35">
      <c r="A134" t="s">
        <v>284</v>
      </c>
      <c r="B134" t="s">
        <v>49</v>
      </c>
      <c r="C134" t="s">
        <v>50</v>
      </c>
      <c r="D134" t="s">
        <v>51</v>
      </c>
      <c r="E134" t="s">
        <v>285</v>
      </c>
      <c r="F134" t="str">
        <f>TEXT(Data[[#This Row],[Applied Date]],"mmmm")</f>
        <v>March</v>
      </c>
      <c r="G134" t="s">
        <v>33</v>
      </c>
      <c r="H134" t="s">
        <v>33</v>
      </c>
      <c r="I134" t="s">
        <v>33</v>
      </c>
      <c r="J134" t="s">
        <v>40</v>
      </c>
      <c r="K134" t="s">
        <v>40</v>
      </c>
      <c r="L134">
        <v>23</v>
      </c>
      <c r="M134" t="s">
        <v>34</v>
      </c>
      <c r="N134" t="s">
        <v>42</v>
      </c>
      <c r="O134">
        <v>21</v>
      </c>
      <c r="P134">
        <v>2</v>
      </c>
      <c r="Q134">
        <v>7522000</v>
      </c>
      <c r="R134">
        <v>7233000</v>
      </c>
      <c r="S134" t="s">
        <v>9</v>
      </c>
    </row>
    <row r="135" spans="1:19" x14ac:dyDescent="0.35">
      <c r="A135" t="s">
        <v>286</v>
      </c>
      <c r="B135" t="s">
        <v>36</v>
      </c>
      <c r="C135" t="s">
        <v>37</v>
      </c>
      <c r="D135" t="s">
        <v>38</v>
      </c>
      <c r="E135" t="s">
        <v>210</v>
      </c>
      <c r="F135" t="str">
        <f>TEXT(Data[[#This Row],[Applied Date]],"mmmm")</f>
        <v>March</v>
      </c>
      <c r="G135" t="s">
        <v>33</v>
      </c>
      <c r="H135" t="s">
        <v>23</v>
      </c>
      <c r="I135" t="s">
        <v>24</v>
      </c>
      <c r="J135" t="s">
        <v>24</v>
      </c>
      <c r="K135" t="s">
        <v>24</v>
      </c>
      <c r="M135" t="s">
        <v>41</v>
      </c>
      <c r="N135" t="s">
        <v>42</v>
      </c>
      <c r="O135">
        <v>22</v>
      </c>
      <c r="P135">
        <v>5</v>
      </c>
      <c r="Q135">
        <v>11016000</v>
      </c>
      <c r="S135" t="s">
        <v>27</v>
      </c>
    </row>
    <row r="136" spans="1:19" x14ac:dyDescent="0.35">
      <c r="A136" t="s">
        <v>287</v>
      </c>
      <c r="B136" t="s">
        <v>66</v>
      </c>
      <c r="C136" t="s">
        <v>67</v>
      </c>
      <c r="D136" t="s">
        <v>38</v>
      </c>
      <c r="E136" t="s">
        <v>288</v>
      </c>
      <c r="F136" t="str">
        <f>TEXT(Data[[#This Row],[Applied Date]],"mmmm")</f>
        <v>June</v>
      </c>
      <c r="G136" t="s">
        <v>23</v>
      </c>
      <c r="H136" t="s">
        <v>24</v>
      </c>
      <c r="I136" t="s">
        <v>24</v>
      </c>
      <c r="J136" t="s">
        <v>24</v>
      </c>
      <c r="K136" t="s">
        <v>24</v>
      </c>
      <c r="M136" t="s">
        <v>34</v>
      </c>
      <c r="N136" t="s">
        <v>26</v>
      </c>
      <c r="O136">
        <v>28</v>
      </c>
      <c r="P136">
        <v>2</v>
      </c>
      <c r="Q136">
        <v>8160000</v>
      </c>
      <c r="S136" t="s">
        <v>27</v>
      </c>
    </row>
    <row r="137" spans="1:19" x14ac:dyDescent="0.35">
      <c r="A137" t="s">
        <v>289</v>
      </c>
      <c r="B137" t="s">
        <v>66</v>
      </c>
      <c r="C137" t="s">
        <v>67</v>
      </c>
      <c r="D137" t="s">
        <v>31</v>
      </c>
      <c r="E137" t="s">
        <v>285</v>
      </c>
      <c r="F137" t="str">
        <f>TEXT(Data[[#This Row],[Applied Date]],"mmmm")</f>
        <v>March</v>
      </c>
      <c r="G137" t="s">
        <v>33</v>
      </c>
      <c r="H137" t="s">
        <v>33</v>
      </c>
      <c r="I137" t="s">
        <v>33</v>
      </c>
      <c r="J137" t="s">
        <v>40</v>
      </c>
      <c r="K137" t="s">
        <v>40</v>
      </c>
      <c r="L137">
        <v>21</v>
      </c>
      <c r="M137" t="s">
        <v>41</v>
      </c>
      <c r="N137" t="s">
        <v>42</v>
      </c>
      <c r="O137">
        <v>40</v>
      </c>
      <c r="P137">
        <v>6</v>
      </c>
      <c r="Q137">
        <v>12380000</v>
      </c>
      <c r="R137">
        <v>11908000</v>
      </c>
      <c r="S137" t="s">
        <v>9</v>
      </c>
    </row>
    <row r="138" spans="1:19" x14ac:dyDescent="0.35">
      <c r="A138" t="s">
        <v>290</v>
      </c>
      <c r="B138" t="s">
        <v>44</v>
      </c>
      <c r="C138" t="s">
        <v>45</v>
      </c>
      <c r="D138" t="s">
        <v>46</v>
      </c>
      <c r="E138" t="s">
        <v>288</v>
      </c>
      <c r="F138" t="str">
        <f>TEXT(Data[[#This Row],[Applied Date]],"mmmm")</f>
        <v>June</v>
      </c>
      <c r="G138" t="s">
        <v>33</v>
      </c>
      <c r="H138" t="s">
        <v>33</v>
      </c>
      <c r="I138" t="s">
        <v>33</v>
      </c>
      <c r="J138" t="s">
        <v>40</v>
      </c>
      <c r="K138" t="s">
        <v>40</v>
      </c>
      <c r="L138">
        <v>23</v>
      </c>
      <c r="M138" t="s">
        <v>63</v>
      </c>
      <c r="N138" t="s">
        <v>26</v>
      </c>
      <c r="O138">
        <v>29</v>
      </c>
      <c r="P138">
        <v>6</v>
      </c>
      <c r="Q138">
        <v>12951000</v>
      </c>
      <c r="R138">
        <v>12765000</v>
      </c>
      <c r="S138" t="s">
        <v>9</v>
      </c>
    </row>
    <row r="139" spans="1:19" x14ac:dyDescent="0.35">
      <c r="A139" t="s">
        <v>291</v>
      </c>
      <c r="B139" t="s">
        <v>82</v>
      </c>
      <c r="C139" t="s">
        <v>83</v>
      </c>
      <c r="D139" t="s">
        <v>46</v>
      </c>
      <c r="E139" t="s">
        <v>292</v>
      </c>
      <c r="F139" t="str">
        <f>TEXT(Data[[#This Row],[Applied Date]],"mmmm")</f>
        <v>March</v>
      </c>
      <c r="G139" t="s">
        <v>33</v>
      </c>
      <c r="H139" t="s">
        <v>23</v>
      </c>
      <c r="I139" t="s">
        <v>24</v>
      </c>
      <c r="J139" t="s">
        <v>24</v>
      </c>
      <c r="K139" t="s">
        <v>24</v>
      </c>
      <c r="M139" t="s">
        <v>63</v>
      </c>
      <c r="N139" t="s">
        <v>26</v>
      </c>
      <c r="O139">
        <v>34</v>
      </c>
      <c r="P139">
        <v>5</v>
      </c>
      <c r="Q139">
        <v>10865000</v>
      </c>
      <c r="S139" t="s">
        <v>27</v>
      </c>
    </row>
    <row r="140" spans="1:19" x14ac:dyDescent="0.35">
      <c r="A140" t="s">
        <v>293</v>
      </c>
      <c r="B140" t="s">
        <v>49</v>
      </c>
      <c r="C140" t="s">
        <v>50</v>
      </c>
      <c r="D140" t="s">
        <v>79</v>
      </c>
      <c r="E140" t="s">
        <v>191</v>
      </c>
      <c r="F140" t="str">
        <f>TEXT(Data[[#This Row],[Applied Date]],"mmmm")</f>
        <v>April</v>
      </c>
      <c r="G140" t="s">
        <v>33</v>
      </c>
      <c r="H140" t="s">
        <v>23</v>
      </c>
      <c r="I140" t="s">
        <v>24</v>
      </c>
      <c r="J140" t="s">
        <v>24</v>
      </c>
      <c r="K140" t="s">
        <v>24</v>
      </c>
      <c r="M140" t="s">
        <v>25</v>
      </c>
      <c r="N140" t="s">
        <v>42</v>
      </c>
      <c r="O140">
        <v>28</v>
      </c>
      <c r="P140">
        <v>0</v>
      </c>
      <c r="Q140">
        <v>5674000</v>
      </c>
      <c r="S140" t="s">
        <v>27</v>
      </c>
    </row>
    <row r="141" spans="1:19" x14ac:dyDescent="0.35">
      <c r="A141" t="s">
        <v>294</v>
      </c>
      <c r="B141" t="s">
        <v>49</v>
      </c>
      <c r="C141" t="s">
        <v>50</v>
      </c>
      <c r="D141" t="s">
        <v>79</v>
      </c>
      <c r="E141" t="s">
        <v>259</v>
      </c>
      <c r="F141" t="str">
        <f>TEXT(Data[[#This Row],[Applied Date]],"mmmm")</f>
        <v>January</v>
      </c>
      <c r="G141" t="s">
        <v>33</v>
      </c>
      <c r="H141" t="s">
        <v>33</v>
      </c>
      <c r="I141" t="s">
        <v>23</v>
      </c>
      <c r="J141" t="s">
        <v>24</v>
      </c>
      <c r="K141" t="s">
        <v>24</v>
      </c>
      <c r="M141" t="s">
        <v>63</v>
      </c>
      <c r="N141" t="s">
        <v>42</v>
      </c>
      <c r="O141">
        <v>37</v>
      </c>
      <c r="P141">
        <v>7</v>
      </c>
      <c r="Q141">
        <v>14173000</v>
      </c>
      <c r="S141" t="s">
        <v>27</v>
      </c>
    </row>
    <row r="142" spans="1:19" x14ac:dyDescent="0.35">
      <c r="A142" t="s">
        <v>295</v>
      </c>
      <c r="B142" t="s">
        <v>82</v>
      </c>
      <c r="C142" t="s">
        <v>83</v>
      </c>
      <c r="D142" t="s">
        <v>31</v>
      </c>
      <c r="E142" t="s">
        <v>296</v>
      </c>
      <c r="F142" t="str">
        <f>TEXT(Data[[#This Row],[Applied Date]],"mmmm")</f>
        <v>January</v>
      </c>
      <c r="G142" t="s">
        <v>23</v>
      </c>
      <c r="H142" t="s">
        <v>24</v>
      </c>
      <c r="I142" t="s">
        <v>24</v>
      </c>
      <c r="J142" t="s">
        <v>24</v>
      </c>
      <c r="K142" t="s">
        <v>24</v>
      </c>
      <c r="M142" t="s">
        <v>25</v>
      </c>
      <c r="N142" t="s">
        <v>26</v>
      </c>
      <c r="O142">
        <v>22</v>
      </c>
      <c r="P142">
        <v>1</v>
      </c>
      <c r="Q142">
        <v>6360000</v>
      </c>
      <c r="S142" t="s">
        <v>27</v>
      </c>
    </row>
    <row r="143" spans="1:19" x14ac:dyDescent="0.35">
      <c r="A143" t="s">
        <v>297</v>
      </c>
      <c r="B143" t="s">
        <v>36</v>
      </c>
      <c r="C143" t="s">
        <v>37</v>
      </c>
      <c r="D143" t="s">
        <v>38</v>
      </c>
      <c r="E143" t="s">
        <v>141</v>
      </c>
      <c r="F143" t="str">
        <f>TEXT(Data[[#This Row],[Applied Date]],"mmmm")</f>
        <v>January</v>
      </c>
      <c r="G143" t="s">
        <v>33</v>
      </c>
      <c r="H143" t="s">
        <v>33</v>
      </c>
      <c r="I143" t="s">
        <v>33</v>
      </c>
      <c r="J143" t="s">
        <v>40</v>
      </c>
      <c r="K143" t="s">
        <v>40</v>
      </c>
      <c r="L143">
        <v>30</v>
      </c>
      <c r="M143" t="s">
        <v>25</v>
      </c>
      <c r="N143" t="s">
        <v>26</v>
      </c>
      <c r="O143">
        <v>21</v>
      </c>
      <c r="P143">
        <v>9</v>
      </c>
      <c r="Q143">
        <v>16516000</v>
      </c>
      <c r="R143">
        <v>16341000</v>
      </c>
      <c r="S143" t="s">
        <v>9</v>
      </c>
    </row>
    <row r="144" spans="1:19" x14ac:dyDescent="0.35">
      <c r="A144" t="s">
        <v>298</v>
      </c>
      <c r="B144" t="s">
        <v>36</v>
      </c>
      <c r="C144" t="s">
        <v>37</v>
      </c>
      <c r="D144" t="s">
        <v>51</v>
      </c>
      <c r="E144" t="s">
        <v>249</v>
      </c>
      <c r="F144" t="str">
        <f>TEXT(Data[[#This Row],[Applied Date]],"mmmm")</f>
        <v>January</v>
      </c>
      <c r="G144" t="s">
        <v>33</v>
      </c>
      <c r="H144" t="s">
        <v>33</v>
      </c>
      <c r="I144" t="s">
        <v>33</v>
      </c>
      <c r="J144" t="s">
        <v>40</v>
      </c>
      <c r="K144" t="s">
        <v>40</v>
      </c>
      <c r="L144">
        <v>14</v>
      </c>
      <c r="M144" t="s">
        <v>63</v>
      </c>
      <c r="N144" t="s">
        <v>26</v>
      </c>
      <c r="O144">
        <v>33</v>
      </c>
      <c r="P144">
        <v>0</v>
      </c>
      <c r="Q144">
        <v>4763000</v>
      </c>
      <c r="R144">
        <v>4744000</v>
      </c>
      <c r="S144" t="s">
        <v>9</v>
      </c>
    </row>
    <row r="145" spans="1:19" x14ac:dyDescent="0.35">
      <c r="A145" t="s">
        <v>299</v>
      </c>
      <c r="B145" t="s">
        <v>19</v>
      </c>
      <c r="C145" t="s">
        <v>20</v>
      </c>
      <c r="D145" t="s">
        <v>31</v>
      </c>
      <c r="E145" t="s">
        <v>131</v>
      </c>
      <c r="F145" t="str">
        <f>TEXT(Data[[#This Row],[Applied Date]],"mmmm")</f>
        <v>April</v>
      </c>
      <c r="G145" t="s">
        <v>33</v>
      </c>
      <c r="H145" t="s">
        <v>33</v>
      </c>
      <c r="I145" t="s">
        <v>33</v>
      </c>
      <c r="J145" t="s">
        <v>40</v>
      </c>
      <c r="K145" t="s">
        <v>40</v>
      </c>
      <c r="L145">
        <v>30</v>
      </c>
      <c r="M145" t="s">
        <v>63</v>
      </c>
      <c r="N145" t="s">
        <v>42</v>
      </c>
      <c r="O145">
        <v>39</v>
      </c>
      <c r="P145">
        <v>9</v>
      </c>
      <c r="Q145">
        <v>15428000</v>
      </c>
      <c r="R145">
        <v>15349000</v>
      </c>
      <c r="S145" t="s">
        <v>9</v>
      </c>
    </row>
    <row r="146" spans="1:19" x14ac:dyDescent="0.35">
      <c r="A146" t="s">
        <v>300</v>
      </c>
      <c r="B146" t="s">
        <v>19</v>
      </c>
      <c r="C146" t="s">
        <v>20</v>
      </c>
      <c r="D146" t="s">
        <v>79</v>
      </c>
      <c r="E146" t="s">
        <v>262</v>
      </c>
      <c r="F146" t="str">
        <f>TEXT(Data[[#This Row],[Applied Date]],"mmmm")</f>
        <v>March</v>
      </c>
      <c r="G146" t="s">
        <v>33</v>
      </c>
      <c r="H146" t="s">
        <v>33</v>
      </c>
      <c r="I146" t="s">
        <v>33</v>
      </c>
      <c r="J146" t="s">
        <v>40</v>
      </c>
      <c r="K146" t="s">
        <v>40</v>
      </c>
      <c r="L146">
        <v>15</v>
      </c>
      <c r="M146" t="s">
        <v>34</v>
      </c>
      <c r="N146" t="s">
        <v>42</v>
      </c>
      <c r="O146">
        <v>25</v>
      </c>
      <c r="P146">
        <v>0</v>
      </c>
      <c r="Q146">
        <v>4869000</v>
      </c>
      <c r="R146">
        <v>4722000</v>
      </c>
      <c r="S146" t="s">
        <v>9</v>
      </c>
    </row>
    <row r="147" spans="1:19" x14ac:dyDescent="0.35">
      <c r="A147" t="s">
        <v>301</v>
      </c>
      <c r="B147" t="s">
        <v>36</v>
      </c>
      <c r="C147" t="s">
        <v>37</v>
      </c>
      <c r="D147" t="s">
        <v>79</v>
      </c>
      <c r="E147" t="s">
        <v>197</v>
      </c>
      <c r="F147" t="str">
        <f>TEXT(Data[[#This Row],[Applied Date]],"mmmm")</f>
        <v>June</v>
      </c>
      <c r="G147" t="s">
        <v>33</v>
      </c>
      <c r="H147" t="s">
        <v>33</v>
      </c>
      <c r="I147" t="s">
        <v>33</v>
      </c>
      <c r="J147" t="s">
        <v>40</v>
      </c>
      <c r="K147" t="s">
        <v>40</v>
      </c>
      <c r="L147">
        <v>28</v>
      </c>
      <c r="M147" t="s">
        <v>57</v>
      </c>
      <c r="N147" t="s">
        <v>26</v>
      </c>
      <c r="O147">
        <v>36</v>
      </c>
      <c r="P147">
        <v>1</v>
      </c>
      <c r="Q147">
        <v>6051000</v>
      </c>
      <c r="R147">
        <v>6033000</v>
      </c>
      <c r="S147" t="s">
        <v>9</v>
      </c>
    </row>
    <row r="148" spans="1:19" x14ac:dyDescent="0.35">
      <c r="A148" t="s">
        <v>302</v>
      </c>
      <c r="B148" t="s">
        <v>66</v>
      </c>
      <c r="C148" t="s">
        <v>67</v>
      </c>
      <c r="D148" t="s">
        <v>51</v>
      </c>
      <c r="E148" t="s">
        <v>195</v>
      </c>
      <c r="F148" t="str">
        <f>TEXT(Data[[#This Row],[Applied Date]],"mmmm")</f>
        <v>April</v>
      </c>
      <c r="G148" t="s">
        <v>33</v>
      </c>
      <c r="H148" t="s">
        <v>33</v>
      </c>
      <c r="I148" t="s">
        <v>23</v>
      </c>
      <c r="J148" t="s">
        <v>24</v>
      </c>
      <c r="K148" t="s">
        <v>24</v>
      </c>
      <c r="M148" t="s">
        <v>41</v>
      </c>
      <c r="N148" t="s">
        <v>42</v>
      </c>
      <c r="O148">
        <v>39</v>
      </c>
      <c r="P148">
        <v>10</v>
      </c>
      <c r="Q148">
        <v>16751000</v>
      </c>
      <c r="S148" t="s">
        <v>27</v>
      </c>
    </row>
    <row r="149" spans="1:19" x14ac:dyDescent="0.35">
      <c r="A149" t="s">
        <v>303</v>
      </c>
      <c r="B149" t="s">
        <v>44</v>
      </c>
      <c r="C149" t="s">
        <v>45</v>
      </c>
      <c r="D149" t="s">
        <v>31</v>
      </c>
      <c r="E149" t="s">
        <v>304</v>
      </c>
      <c r="F149" t="str">
        <f>TEXT(Data[[#This Row],[Applied Date]],"mmmm")</f>
        <v>February</v>
      </c>
      <c r="G149" t="s">
        <v>33</v>
      </c>
      <c r="H149" t="s">
        <v>23</v>
      </c>
      <c r="I149" t="s">
        <v>24</v>
      </c>
      <c r="J149" t="s">
        <v>24</v>
      </c>
      <c r="K149" t="s">
        <v>24</v>
      </c>
      <c r="M149" t="s">
        <v>25</v>
      </c>
      <c r="N149" t="s">
        <v>42</v>
      </c>
      <c r="O149">
        <v>27</v>
      </c>
      <c r="P149">
        <v>6</v>
      </c>
      <c r="Q149">
        <v>12833000</v>
      </c>
      <c r="S149" t="s">
        <v>27</v>
      </c>
    </row>
    <row r="150" spans="1:19" x14ac:dyDescent="0.35">
      <c r="A150" t="s">
        <v>305</v>
      </c>
      <c r="B150" t="s">
        <v>72</v>
      </c>
      <c r="C150" t="s">
        <v>37</v>
      </c>
      <c r="D150" t="s">
        <v>21</v>
      </c>
      <c r="E150" t="s">
        <v>235</v>
      </c>
      <c r="F150" t="str">
        <f>TEXT(Data[[#This Row],[Applied Date]],"mmmm")</f>
        <v>May</v>
      </c>
      <c r="G150" t="s">
        <v>33</v>
      </c>
      <c r="H150" t="s">
        <v>33</v>
      </c>
      <c r="I150" t="s">
        <v>33</v>
      </c>
      <c r="J150" t="s">
        <v>40</v>
      </c>
      <c r="K150" t="s">
        <v>40</v>
      </c>
      <c r="L150">
        <v>34</v>
      </c>
      <c r="M150" t="s">
        <v>25</v>
      </c>
      <c r="N150" t="s">
        <v>42</v>
      </c>
      <c r="O150">
        <v>37</v>
      </c>
      <c r="P150">
        <v>10</v>
      </c>
      <c r="Q150">
        <v>16651000</v>
      </c>
      <c r="R150">
        <v>16611000</v>
      </c>
      <c r="S150" t="s">
        <v>9</v>
      </c>
    </row>
    <row r="151" spans="1:19" x14ac:dyDescent="0.35">
      <c r="A151" t="s">
        <v>306</v>
      </c>
      <c r="B151" t="s">
        <v>19</v>
      </c>
      <c r="C151" t="s">
        <v>20</v>
      </c>
      <c r="D151" t="s">
        <v>38</v>
      </c>
      <c r="E151" t="s">
        <v>307</v>
      </c>
      <c r="F151" t="str">
        <f>TEXT(Data[[#This Row],[Applied Date]],"mmmm")</f>
        <v>January</v>
      </c>
      <c r="G151" t="s">
        <v>33</v>
      </c>
      <c r="H151" t="s">
        <v>33</v>
      </c>
      <c r="I151" t="s">
        <v>33</v>
      </c>
      <c r="J151" t="s">
        <v>40</v>
      </c>
      <c r="K151" t="s">
        <v>40</v>
      </c>
      <c r="L151">
        <v>26</v>
      </c>
      <c r="M151" t="s">
        <v>63</v>
      </c>
      <c r="N151" t="s">
        <v>26</v>
      </c>
      <c r="O151">
        <v>24</v>
      </c>
      <c r="P151">
        <v>10</v>
      </c>
      <c r="Q151">
        <v>17417000</v>
      </c>
      <c r="R151">
        <v>17024000</v>
      </c>
      <c r="S151" t="s">
        <v>9</v>
      </c>
    </row>
    <row r="152" spans="1:19" x14ac:dyDescent="0.35">
      <c r="A152" t="s">
        <v>308</v>
      </c>
      <c r="B152" t="s">
        <v>19</v>
      </c>
      <c r="C152" t="s">
        <v>20</v>
      </c>
      <c r="D152" t="s">
        <v>46</v>
      </c>
      <c r="E152" t="s">
        <v>181</v>
      </c>
      <c r="F152" t="str">
        <f>TEXT(Data[[#This Row],[Applied Date]],"mmmm")</f>
        <v>March</v>
      </c>
      <c r="G152" t="s">
        <v>23</v>
      </c>
      <c r="H152" t="s">
        <v>24</v>
      </c>
      <c r="I152" t="s">
        <v>24</v>
      </c>
      <c r="J152" t="s">
        <v>24</v>
      </c>
      <c r="K152" t="s">
        <v>24</v>
      </c>
      <c r="M152" t="s">
        <v>34</v>
      </c>
      <c r="N152" t="s">
        <v>26</v>
      </c>
      <c r="O152">
        <v>34</v>
      </c>
      <c r="P152">
        <v>8</v>
      </c>
      <c r="Q152">
        <v>15252000</v>
      </c>
      <c r="S152" t="s">
        <v>27</v>
      </c>
    </row>
    <row r="153" spans="1:19" x14ac:dyDescent="0.35">
      <c r="A153" t="s">
        <v>309</v>
      </c>
      <c r="B153" t="s">
        <v>29</v>
      </c>
      <c r="C153" t="s">
        <v>30</v>
      </c>
      <c r="D153" t="s">
        <v>38</v>
      </c>
      <c r="E153" t="s">
        <v>310</v>
      </c>
      <c r="F153" t="str">
        <f>TEXT(Data[[#This Row],[Applied Date]],"mmmm")</f>
        <v>May</v>
      </c>
      <c r="G153" t="s">
        <v>33</v>
      </c>
      <c r="H153" t="s">
        <v>33</v>
      </c>
      <c r="I153" t="s">
        <v>23</v>
      </c>
      <c r="J153" t="s">
        <v>24</v>
      </c>
      <c r="K153" t="s">
        <v>24</v>
      </c>
      <c r="M153" t="s">
        <v>34</v>
      </c>
      <c r="N153" t="s">
        <v>26</v>
      </c>
      <c r="O153">
        <v>31</v>
      </c>
      <c r="P153">
        <v>3</v>
      </c>
      <c r="Q153">
        <v>8530000</v>
      </c>
      <c r="S153" t="s">
        <v>27</v>
      </c>
    </row>
    <row r="154" spans="1:19" x14ac:dyDescent="0.35">
      <c r="A154" t="s">
        <v>311</v>
      </c>
      <c r="B154" t="s">
        <v>29</v>
      </c>
      <c r="C154" t="s">
        <v>30</v>
      </c>
      <c r="D154" t="s">
        <v>51</v>
      </c>
      <c r="E154" t="s">
        <v>217</v>
      </c>
      <c r="F154" t="str">
        <f>TEXT(Data[[#This Row],[Applied Date]],"mmmm")</f>
        <v>April</v>
      </c>
      <c r="G154" t="s">
        <v>23</v>
      </c>
      <c r="H154" t="s">
        <v>24</v>
      </c>
      <c r="I154" t="s">
        <v>24</v>
      </c>
      <c r="J154" t="s">
        <v>24</v>
      </c>
      <c r="K154" t="s">
        <v>24</v>
      </c>
      <c r="M154" t="s">
        <v>25</v>
      </c>
      <c r="N154" t="s">
        <v>42</v>
      </c>
      <c r="O154">
        <v>38</v>
      </c>
      <c r="P154">
        <v>7</v>
      </c>
      <c r="Q154">
        <v>13029000</v>
      </c>
      <c r="S154" t="s">
        <v>27</v>
      </c>
    </row>
    <row r="155" spans="1:19" x14ac:dyDescent="0.35">
      <c r="A155" t="s">
        <v>312</v>
      </c>
      <c r="B155" t="s">
        <v>44</v>
      </c>
      <c r="C155" t="s">
        <v>45</v>
      </c>
      <c r="D155" t="s">
        <v>46</v>
      </c>
      <c r="E155" t="s">
        <v>313</v>
      </c>
      <c r="F155" t="str">
        <f>TEXT(Data[[#This Row],[Applied Date]],"mmmm")</f>
        <v>June</v>
      </c>
      <c r="G155" t="s">
        <v>33</v>
      </c>
      <c r="H155" t="s">
        <v>23</v>
      </c>
      <c r="I155" t="s">
        <v>24</v>
      </c>
      <c r="J155" t="s">
        <v>24</v>
      </c>
      <c r="K155" t="s">
        <v>24</v>
      </c>
      <c r="M155" t="s">
        <v>41</v>
      </c>
      <c r="N155" t="s">
        <v>42</v>
      </c>
      <c r="O155">
        <v>24</v>
      </c>
      <c r="P155">
        <v>7</v>
      </c>
      <c r="Q155">
        <v>13525000</v>
      </c>
      <c r="S155" t="s">
        <v>27</v>
      </c>
    </row>
    <row r="156" spans="1:19" x14ac:dyDescent="0.35">
      <c r="A156" t="s">
        <v>314</v>
      </c>
      <c r="B156" t="s">
        <v>36</v>
      </c>
      <c r="C156" t="s">
        <v>37</v>
      </c>
      <c r="D156" t="s">
        <v>31</v>
      </c>
      <c r="E156" t="s">
        <v>153</v>
      </c>
      <c r="F156" t="str">
        <f>TEXT(Data[[#This Row],[Applied Date]],"mmmm")</f>
        <v>February</v>
      </c>
      <c r="G156" t="s">
        <v>23</v>
      </c>
      <c r="H156" t="s">
        <v>24</v>
      </c>
      <c r="I156" t="s">
        <v>24</v>
      </c>
      <c r="J156" t="s">
        <v>24</v>
      </c>
      <c r="K156" t="s">
        <v>24</v>
      </c>
      <c r="M156" t="s">
        <v>63</v>
      </c>
      <c r="N156" t="s">
        <v>26</v>
      </c>
      <c r="O156">
        <v>30</v>
      </c>
      <c r="P156">
        <v>7</v>
      </c>
      <c r="Q156">
        <v>12919000</v>
      </c>
      <c r="S156" t="s">
        <v>27</v>
      </c>
    </row>
    <row r="157" spans="1:19" x14ac:dyDescent="0.35">
      <c r="A157" t="s">
        <v>315</v>
      </c>
      <c r="B157" t="s">
        <v>29</v>
      </c>
      <c r="C157" t="s">
        <v>30</v>
      </c>
      <c r="D157" t="s">
        <v>21</v>
      </c>
      <c r="E157" t="s">
        <v>288</v>
      </c>
      <c r="F157" t="str">
        <f>TEXT(Data[[#This Row],[Applied Date]],"mmmm")</f>
        <v>June</v>
      </c>
      <c r="G157" t="s">
        <v>33</v>
      </c>
      <c r="H157" t="s">
        <v>33</v>
      </c>
      <c r="I157" t="s">
        <v>23</v>
      </c>
      <c r="J157" t="s">
        <v>24</v>
      </c>
      <c r="K157" t="s">
        <v>24</v>
      </c>
      <c r="M157" t="s">
        <v>63</v>
      </c>
      <c r="N157" t="s">
        <v>42</v>
      </c>
      <c r="O157">
        <v>21</v>
      </c>
      <c r="P157">
        <v>9</v>
      </c>
      <c r="Q157">
        <v>16528000</v>
      </c>
      <c r="S157" t="s">
        <v>27</v>
      </c>
    </row>
    <row r="158" spans="1:19" x14ac:dyDescent="0.35">
      <c r="A158" t="s">
        <v>316</v>
      </c>
      <c r="B158" t="s">
        <v>66</v>
      </c>
      <c r="C158" t="s">
        <v>67</v>
      </c>
      <c r="D158" t="s">
        <v>79</v>
      </c>
      <c r="E158" t="s">
        <v>278</v>
      </c>
      <c r="F158" t="str">
        <f>TEXT(Data[[#This Row],[Applied Date]],"mmmm")</f>
        <v>January</v>
      </c>
      <c r="G158" t="s">
        <v>33</v>
      </c>
      <c r="H158" t="s">
        <v>33</v>
      </c>
      <c r="I158" t="s">
        <v>33</v>
      </c>
      <c r="J158" t="s">
        <v>40</v>
      </c>
      <c r="K158" t="s">
        <v>40</v>
      </c>
      <c r="L158">
        <v>18</v>
      </c>
      <c r="M158" t="s">
        <v>25</v>
      </c>
      <c r="N158" t="s">
        <v>26</v>
      </c>
      <c r="O158">
        <v>36</v>
      </c>
      <c r="P158">
        <v>8</v>
      </c>
      <c r="Q158">
        <v>14877000</v>
      </c>
      <c r="R158">
        <v>14321000</v>
      </c>
      <c r="S158" t="s">
        <v>9</v>
      </c>
    </row>
    <row r="159" spans="1:19" x14ac:dyDescent="0.35">
      <c r="A159" t="s">
        <v>317</v>
      </c>
      <c r="B159" t="s">
        <v>66</v>
      </c>
      <c r="C159" t="s">
        <v>67</v>
      </c>
      <c r="D159" t="s">
        <v>46</v>
      </c>
      <c r="E159" t="s">
        <v>237</v>
      </c>
      <c r="F159" t="str">
        <f>TEXT(Data[[#This Row],[Applied Date]],"mmmm")</f>
        <v>February</v>
      </c>
      <c r="G159" t="s">
        <v>33</v>
      </c>
      <c r="H159" t="s">
        <v>33</v>
      </c>
      <c r="I159" t="s">
        <v>33</v>
      </c>
      <c r="J159" t="s">
        <v>40</v>
      </c>
      <c r="K159" t="s">
        <v>40</v>
      </c>
      <c r="L159">
        <v>13</v>
      </c>
      <c r="M159" t="s">
        <v>25</v>
      </c>
      <c r="N159" t="s">
        <v>42</v>
      </c>
      <c r="O159">
        <v>27</v>
      </c>
      <c r="P159">
        <v>10</v>
      </c>
      <c r="Q159">
        <v>17597000</v>
      </c>
      <c r="R159">
        <v>17593000</v>
      </c>
      <c r="S159" t="s">
        <v>9</v>
      </c>
    </row>
    <row r="160" spans="1:19" x14ac:dyDescent="0.35">
      <c r="A160" t="s">
        <v>318</v>
      </c>
      <c r="B160" t="s">
        <v>82</v>
      </c>
      <c r="C160" t="s">
        <v>83</v>
      </c>
      <c r="D160" t="s">
        <v>51</v>
      </c>
      <c r="E160" t="s">
        <v>77</v>
      </c>
      <c r="F160" t="str">
        <f>TEXT(Data[[#This Row],[Applied Date]],"mmmm")</f>
        <v>May</v>
      </c>
      <c r="G160" t="s">
        <v>33</v>
      </c>
      <c r="H160" t="s">
        <v>33</v>
      </c>
      <c r="I160" t="s">
        <v>33</v>
      </c>
      <c r="J160" t="s">
        <v>40</v>
      </c>
      <c r="K160" t="s">
        <v>40</v>
      </c>
      <c r="L160">
        <v>23</v>
      </c>
      <c r="M160" t="s">
        <v>41</v>
      </c>
      <c r="N160" t="s">
        <v>42</v>
      </c>
      <c r="O160">
        <v>23</v>
      </c>
      <c r="P160">
        <v>1</v>
      </c>
      <c r="Q160">
        <v>6283000</v>
      </c>
      <c r="R160">
        <v>6156000</v>
      </c>
      <c r="S160" t="s">
        <v>9</v>
      </c>
    </row>
    <row r="161" spans="1:19" x14ac:dyDescent="0.35">
      <c r="A161" t="s">
        <v>319</v>
      </c>
      <c r="B161" t="s">
        <v>36</v>
      </c>
      <c r="C161" t="s">
        <v>37</v>
      </c>
      <c r="D161" t="s">
        <v>38</v>
      </c>
      <c r="E161" t="s">
        <v>32</v>
      </c>
      <c r="F161" t="str">
        <f>TEXT(Data[[#This Row],[Applied Date]],"mmmm")</f>
        <v>May</v>
      </c>
      <c r="G161" t="s">
        <v>33</v>
      </c>
      <c r="H161" t="s">
        <v>23</v>
      </c>
      <c r="I161" t="s">
        <v>24</v>
      </c>
      <c r="J161" t="s">
        <v>24</v>
      </c>
      <c r="K161" t="s">
        <v>24</v>
      </c>
      <c r="M161" t="s">
        <v>41</v>
      </c>
      <c r="N161" t="s">
        <v>42</v>
      </c>
      <c r="O161">
        <v>37</v>
      </c>
      <c r="P161">
        <v>0</v>
      </c>
      <c r="Q161">
        <v>4808000</v>
      </c>
      <c r="S161" t="s">
        <v>27</v>
      </c>
    </row>
    <row r="162" spans="1:19" x14ac:dyDescent="0.35">
      <c r="A162" t="s">
        <v>320</v>
      </c>
      <c r="B162" t="s">
        <v>82</v>
      </c>
      <c r="C162" t="s">
        <v>83</v>
      </c>
      <c r="D162" t="s">
        <v>51</v>
      </c>
      <c r="E162" t="s">
        <v>115</v>
      </c>
      <c r="F162" t="str">
        <f>TEXT(Data[[#This Row],[Applied Date]],"mmmm")</f>
        <v>February</v>
      </c>
      <c r="G162" t="s">
        <v>23</v>
      </c>
      <c r="H162" t="s">
        <v>24</v>
      </c>
      <c r="I162" t="s">
        <v>24</v>
      </c>
      <c r="J162" t="s">
        <v>24</v>
      </c>
      <c r="K162" t="s">
        <v>24</v>
      </c>
      <c r="M162" t="s">
        <v>25</v>
      </c>
      <c r="N162" t="s">
        <v>42</v>
      </c>
      <c r="O162">
        <v>30</v>
      </c>
      <c r="P162">
        <v>6</v>
      </c>
      <c r="Q162">
        <v>11711000</v>
      </c>
      <c r="S162" t="s">
        <v>27</v>
      </c>
    </row>
    <row r="163" spans="1:19" x14ac:dyDescent="0.35">
      <c r="A163" t="s">
        <v>321</v>
      </c>
      <c r="B163" t="s">
        <v>66</v>
      </c>
      <c r="C163" t="s">
        <v>67</v>
      </c>
      <c r="D163" t="s">
        <v>46</v>
      </c>
      <c r="E163" t="s">
        <v>237</v>
      </c>
      <c r="F163" t="str">
        <f>TEXT(Data[[#This Row],[Applied Date]],"mmmm")</f>
        <v>February</v>
      </c>
      <c r="G163" t="s">
        <v>33</v>
      </c>
      <c r="H163" t="s">
        <v>33</v>
      </c>
      <c r="I163" t="s">
        <v>33</v>
      </c>
      <c r="J163" t="s">
        <v>40</v>
      </c>
      <c r="K163" t="s">
        <v>40</v>
      </c>
      <c r="L163">
        <v>31</v>
      </c>
      <c r="M163" t="s">
        <v>41</v>
      </c>
      <c r="N163" t="s">
        <v>26</v>
      </c>
      <c r="O163">
        <v>31</v>
      </c>
      <c r="P163">
        <v>4</v>
      </c>
      <c r="Q163">
        <v>9630000</v>
      </c>
      <c r="R163">
        <v>9629000</v>
      </c>
      <c r="S163" t="s">
        <v>9</v>
      </c>
    </row>
    <row r="164" spans="1:19" x14ac:dyDescent="0.35">
      <c r="A164" t="s">
        <v>322</v>
      </c>
      <c r="B164" t="s">
        <v>19</v>
      </c>
      <c r="C164" t="s">
        <v>20</v>
      </c>
      <c r="D164" t="s">
        <v>46</v>
      </c>
      <c r="E164" t="s">
        <v>219</v>
      </c>
      <c r="F164" t="str">
        <f>TEXT(Data[[#This Row],[Applied Date]],"mmmm")</f>
        <v>January</v>
      </c>
      <c r="G164" t="s">
        <v>33</v>
      </c>
      <c r="H164" t="s">
        <v>33</v>
      </c>
      <c r="I164" t="s">
        <v>23</v>
      </c>
      <c r="J164" t="s">
        <v>24</v>
      </c>
      <c r="K164" t="s">
        <v>24</v>
      </c>
      <c r="M164" t="s">
        <v>25</v>
      </c>
      <c r="N164" t="s">
        <v>26</v>
      </c>
      <c r="O164">
        <v>29</v>
      </c>
      <c r="P164">
        <v>7</v>
      </c>
      <c r="Q164">
        <v>12940000</v>
      </c>
      <c r="S164" t="s">
        <v>27</v>
      </c>
    </row>
    <row r="165" spans="1:19" x14ac:dyDescent="0.35">
      <c r="A165" t="s">
        <v>323</v>
      </c>
      <c r="B165" t="s">
        <v>72</v>
      </c>
      <c r="C165" t="s">
        <v>37</v>
      </c>
      <c r="D165" t="s">
        <v>21</v>
      </c>
      <c r="E165" t="s">
        <v>310</v>
      </c>
      <c r="F165" t="str">
        <f>TEXT(Data[[#This Row],[Applied Date]],"mmmm")</f>
        <v>May</v>
      </c>
      <c r="G165" t="s">
        <v>33</v>
      </c>
      <c r="H165" t="s">
        <v>33</v>
      </c>
      <c r="I165" t="s">
        <v>33</v>
      </c>
      <c r="J165" t="s">
        <v>40</v>
      </c>
      <c r="K165" t="s">
        <v>40</v>
      </c>
      <c r="L165">
        <v>16</v>
      </c>
      <c r="M165" t="s">
        <v>34</v>
      </c>
      <c r="N165" t="s">
        <v>26</v>
      </c>
      <c r="O165">
        <v>27</v>
      </c>
      <c r="P165">
        <v>0</v>
      </c>
      <c r="Q165">
        <v>4701000</v>
      </c>
      <c r="R165">
        <v>4676000</v>
      </c>
      <c r="S165" t="s">
        <v>9</v>
      </c>
    </row>
    <row r="166" spans="1:19" x14ac:dyDescent="0.35">
      <c r="A166" t="s">
        <v>324</v>
      </c>
      <c r="B166" t="s">
        <v>44</v>
      </c>
      <c r="C166" t="s">
        <v>45</v>
      </c>
      <c r="D166" t="s">
        <v>31</v>
      </c>
      <c r="E166" t="s">
        <v>191</v>
      </c>
      <c r="F166" t="str">
        <f>TEXT(Data[[#This Row],[Applied Date]],"mmmm")</f>
        <v>April</v>
      </c>
      <c r="G166" t="s">
        <v>33</v>
      </c>
      <c r="H166" t="s">
        <v>23</v>
      </c>
      <c r="I166" t="s">
        <v>24</v>
      </c>
      <c r="J166" t="s">
        <v>24</v>
      </c>
      <c r="K166" t="s">
        <v>24</v>
      </c>
      <c r="M166" t="s">
        <v>57</v>
      </c>
      <c r="N166" t="s">
        <v>42</v>
      </c>
      <c r="O166">
        <v>33</v>
      </c>
      <c r="P166">
        <v>6</v>
      </c>
      <c r="Q166">
        <v>12917000</v>
      </c>
      <c r="S166" t="s">
        <v>27</v>
      </c>
    </row>
    <row r="167" spans="1:19" x14ac:dyDescent="0.35">
      <c r="A167" t="s">
        <v>325</v>
      </c>
      <c r="B167" t="s">
        <v>36</v>
      </c>
      <c r="C167" t="s">
        <v>37</v>
      </c>
      <c r="D167" t="s">
        <v>31</v>
      </c>
      <c r="E167" t="s">
        <v>326</v>
      </c>
      <c r="F167" t="str">
        <f>TEXT(Data[[#This Row],[Applied Date]],"mmmm")</f>
        <v>June</v>
      </c>
      <c r="G167" t="s">
        <v>33</v>
      </c>
      <c r="H167" t="s">
        <v>33</v>
      </c>
      <c r="I167" t="s">
        <v>33</v>
      </c>
      <c r="J167" t="s">
        <v>40</v>
      </c>
      <c r="K167" t="s">
        <v>62</v>
      </c>
      <c r="L167">
        <v>19</v>
      </c>
      <c r="M167" t="s">
        <v>25</v>
      </c>
      <c r="N167" t="s">
        <v>42</v>
      </c>
      <c r="O167">
        <v>40</v>
      </c>
      <c r="P167">
        <v>1</v>
      </c>
      <c r="Q167">
        <v>6223000</v>
      </c>
      <c r="S167" t="s">
        <v>64</v>
      </c>
    </row>
    <row r="168" spans="1:19" x14ac:dyDescent="0.35">
      <c r="A168" t="s">
        <v>327</v>
      </c>
      <c r="B168" t="s">
        <v>36</v>
      </c>
      <c r="C168" t="s">
        <v>37</v>
      </c>
      <c r="D168" t="s">
        <v>51</v>
      </c>
      <c r="E168" t="s">
        <v>199</v>
      </c>
      <c r="F168" t="str">
        <f>TEXT(Data[[#This Row],[Applied Date]],"mmmm")</f>
        <v>February</v>
      </c>
      <c r="G168" t="s">
        <v>23</v>
      </c>
      <c r="H168" t="s">
        <v>24</v>
      </c>
      <c r="I168" t="s">
        <v>24</v>
      </c>
      <c r="J168" t="s">
        <v>24</v>
      </c>
      <c r="K168" t="s">
        <v>24</v>
      </c>
      <c r="M168" t="s">
        <v>41</v>
      </c>
      <c r="N168" t="s">
        <v>26</v>
      </c>
      <c r="O168">
        <v>25</v>
      </c>
      <c r="P168">
        <v>6</v>
      </c>
      <c r="Q168">
        <v>12849000</v>
      </c>
      <c r="S168" t="s">
        <v>27</v>
      </c>
    </row>
    <row r="169" spans="1:19" x14ac:dyDescent="0.35">
      <c r="A169" t="s">
        <v>328</v>
      </c>
      <c r="B169" t="s">
        <v>44</v>
      </c>
      <c r="C169" t="s">
        <v>45</v>
      </c>
      <c r="D169" t="s">
        <v>46</v>
      </c>
      <c r="E169" t="s">
        <v>77</v>
      </c>
      <c r="F169" t="str">
        <f>TEXT(Data[[#This Row],[Applied Date]],"mmmm")</f>
        <v>May</v>
      </c>
      <c r="G169" t="s">
        <v>33</v>
      </c>
      <c r="H169" t="s">
        <v>33</v>
      </c>
      <c r="I169" t="s">
        <v>33</v>
      </c>
      <c r="J169" t="s">
        <v>40</v>
      </c>
      <c r="K169" t="s">
        <v>40</v>
      </c>
      <c r="L169">
        <v>34</v>
      </c>
      <c r="M169" t="s">
        <v>63</v>
      </c>
      <c r="N169" t="s">
        <v>26</v>
      </c>
      <c r="O169">
        <v>28</v>
      </c>
      <c r="P169">
        <v>0</v>
      </c>
      <c r="Q169">
        <v>5463000</v>
      </c>
      <c r="R169">
        <v>5306000</v>
      </c>
      <c r="S169" t="s">
        <v>9</v>
      </c>
    </row>
    <row r="170" spans="1:19" x14ac:dyDescent="0.35">
      <c r="A170" t="s">
        <v>329</v>
      </c>
      <c r="B170" t="s">
        <v>72</v>
      </c>
      <c r="C170" t="s">
        <v>37</v>
      </c>
      <c r="D170" t="s">
        <v>51</v>
      </c>
      <c r="E170" t="s">
        <v>84</v>
      </c>
      <c r="F170" t="str">
        <f>TEXT(Data[[#This Row],[Applied Date]],"mmmm")</f>
        <v>May</v>
      </c>
      <c r="G170" t="s">
        <v>33</v>
      </c>
      <c r="H170" t="s">
        <v>33</v>
      </c>
      <c r="I170" t="s">
        <v>33</v>
      </c>
      <c r="J170" t="s">
        <v>40</v>
      </c>
      <c r="K170" t="s">
        <v>40</v>
      </c>
      <c r="L170">
        <v>20</v>
      </c>
      <c r="M170" t="s">
        <v>25</v>
      </c>
      <c r="N170" t="s">
        <v>26</v>
      </c>
      <c r="O170">
        <v>21</v>
      </c>
      <c r="P170">
        <v>10</v>
      </c>
      <c r="Q170">
        <v>17384000</v>
      </c>
      <c r="R170">
        <v>16968000</v>
      </c>
      <c r="S170" t="s">
        <v>9</v>
      </c>
    </row>
    <row r="171" spans="1:19" x14ac:dyDescent="0.35">
      <c r="A171" t="s">
        <v>330</v>
      </c>
      <c r="B171" t="s">
        <v>29</v>
      </c>
      <c r="C171" t="s">
        <v>30</v>
      </c>
      <c r="D171" t="s">
        <v>21</v>
      </c>
      <c r="E171" t="s">
        <v>84</v>
      </c>
      <c r="F171" t="str">
        <f>TEXT(Data[[#This Row],[Applied Date]],"mmmm")</f>
        <v>May</v>
      </c>
      <c r="G171" t="s">
        <v>33</v>
      </c>
      <c r="H171" t="s">
        <v>33</v>
      </c>
      <c r="I171" t="s">
        <v>33</v>
      </c>
      <c r="J171" t="s">
        <v>40</v>
      </c>
      <c r="K171" t="s">
        <v>40</v>
      </c>
      <c r="L171">
        <v>29</v>
      </c>
      <c r="M171" t="s">
        <v>41</v>
      </c>
      <c r="N171" t="s">
        <v>42</v>
      </c>
      <c r="O171">
        <v>36</v>
      </c>
      <c r="P171">
        <v>6</v>
      </c>
      <c r="Q171">
        <v>12817000</v>
      </c>
      <c r="R171">
        <v>12582000</v>
      </c>
      <c r="S171" t="s">
        <v>9</v>
      </c>
    </row>
    <row r="172" spans="1:19" x14ac:dyDescent="0.35">
      <c r="A172" t="s">
        <v>331</v>
      </c>
      <c r="B172" t="s">
        <v>49</v>
      </c>
      <c r="C172" t="s">
        <v>50</v>
      </c>
      <c r="D172" t="s">
        <v>51</v>
      </c>
      <c r="E172" t="s">
        <v>39</v>
      </c>
      <c r="F172" t="str">
        <f>TEXT(Data[[#This Row],[Applied Date]],"mmmm")</f>
        <v>May</v>
      </c>
      <c r="G172" t="s">
        <v>23</v>
      </c>
      <c r="H172" t="s">
        <v>24</v>
      </c>
      <c r="I172" t="s">
        <v>24</v>
      </c>
      <c r="J172" t="s">
        <v>24</v>
      </c>
      <c r="K172" t="s">
        <v>24</v>
      </c>
      <c r="M172" t="s">
        <v>25</v>
      </c>
      <c r="N172" t="s">
        <v>26</v>
      </c>
      <c r="O172">
        <v>34</v>
      </c>
      <c r="P172">
        <v>8</v>
      </c>
      <c r="Q172">
        <v>14355000</v>
      </c>
      <c r="S172" t="s">
        <v>27</v>
      </c>
    </row>
    <row r="173" spans="1:19" x14ac:dyDescent="0.35">
      <c r="A173" t="s">
        <v>332</v>
      </c>
      <c r="B173" t="s">
        <v>44</v>
      </c>
      <c r="C173" t="s">
        <v>45</v>
      </c>
      <c r="D173" t="s">
        <v>51</v>
      </c>
      <c r="E173" t="s">
        <v>219</v>
      </c>
      <c r="F173" t="str">
        <f>TEXT(Data[[#This Row],[Applied Date]],"mmmm")</f>
        <v>January</v>
      </c>
      <c r="G173" t="s">
        <v>33</v>
      </c>
      <c r="H173" t="s">
        <v>33</v>
      </c>
      <c r="I173" t="s">
        <v>33</v>
      </c>
      <c r="J173" t="s">
        <v>40</v>
      </c>
      <c r="K173" t="s">
        <v>40</v>
      </c>
      <c r="L173">
        <v>14</v>
      </c>
      <c r="M173" t="s">
        <v>34</v>
      </c>
      <c r="N173" t="s">
        <v>26</v>
      </c>
      <c r="O173">
        <v>32</v>
      </c>
      <c r="P173">
        <v>6</v>
      </c>
      <c r="Q173">
        <v>12313000</v>
      </c>
      <c r="R173">
        <v>11932000</v>
      </c>
      <c r="S173" t="s">
        <v>9</v>
      </c>
    </row>
    <row r="174" spans="1:19" x14ac:dyDescent="0.35">
      <c r="A174" t="s">
        <v>333</v>
      </c>
      <c r="B174" t="s">
        <v>36</v>
      </c>
      <c r="C174" t="s">
        <v>37</v>
      </c>
      <c r="D174" t="s">
        <v>79</v>
      </c>
      <c r="E174" t="s">
        <v>237</v>
      </c>
      <c r="F174" t="str">
        <f>TEXT(Data[[#This Row],[Applied Date]],"mmmm")</f>
        <v>February</v>
      </c>
      <c r="G174" t="s">
        <v>23</v>
      </c>
      <c r="H174" t="s">
        <v>24</v>
      </c>
      <c r="I174" t="s">
        <v>24</v>
      </c>
      <c r="J174" t="s">
        <v>24</v>
      </c>
      <c r="K174" t="s">
        <v>24</v>
      </c>
      <c r="M174" t="s">
        <v>41</v>
      </c>
      <c r="N174" t="s">
        <v>26</v>
      </c>
      <c r="O174">
        <v>40</v>
      </c>
      <c r="P174">
        <v>8</v>
      </c>
      <c r="Q174">
        <v>14162000</v>
      </c>
      <c r="S174" t="s">
        <v>27</v>
      </c>
    </row>
    <row r="175" spans="1:19" x14ac:dyDescent="0.35">
      <c r="A175" t="s">
        <v>334</v>
      </c>
      <c r="B175" t="s">
        <v>66</v>
      </c>
      <c r="C175" t="s">
        <v>67</v>
      </c>
      <c r="D175" t="s">
        <v>31</v>
      </c>
      <c r="E175" t="s">
        <v>326</v>
      </c>
      <c r="F175" t="str">
        <f>TEXT(Data[[#This Row],[Applied Date]],"mmmm")</f>
        <v>June</v>
      </c>
      <c r="G175" t="s">
        <v>33</v>
      </c>
      <c r="H175" t="s">
        <v>33</v>
      </c>
      <c r="I175" t="s">
        <v>23</v>
      </c>
      <c r="J175" t="s">
        <v>24</v>
      </c>
      <c r="K175" t="s">
        <v>24</v>
      </c>
      <c r="M175" t="s">
        <v>34</v>
      </c>
      <c r="N175" t="s">
        <v>42</v>
      </c>
      <c r="O175">
        <v>34</v>
      </c>
      <c r="P175">
        <v>10</v>
      </c>
      <c r="Q175">
        <v>17456000</v>
      </c>
      <c r="S175" t="s">
        <v>27</v>
      </c>
    </row>
    <row r="176" spans="1:19" x14ac:dyDescent="0.35">
      <c r="A176" t="s">
        <v>335</v>
      </c>
      <c r="B176" t="s">
        <v>29</v>
      </c>
      <c r="C176" t="s">
        <v>30</v>
      </c>
      <c r="D176" t="s">
        <v>31</v>
      </c>
      <c r="E176" t="s">
        <v>61</v>
      </c>
      <c r="F176" t="str">
        <f>TEXT(Data[[#This Row],[Applied Date]],"mmmm")</f>
        <v>March</v>
      </c>
      <c r="G176" t="s">
        <v>33</v>
      </c>
      <c r="H176" t="s">
        <v>23</v>
      </c>
      <c r="I176" t="s">
        <v>24</v>
      </c>
      <c r="J176" t="s">
        <v>24</v>
      </c>
      <c r="K176" t="s">
        <v>24</v>
      </c>
      <c r="M176" t="s">
        <v>63</v>
      </c>
      <c r="N176" t="s">
        <v>42</v>
      </c>
      <c r="O176">
        <v>21</v>
      </c>
      <c r="P176">
        <v>1</v>
      </c>
      <c r="Q176">
        <v>6115000</v>
      </c>
      <c r="S176" t="s">
        <v>27</v>
      </c>
    </row>
    <row r="177" spans="1:19" x14ac:dyDescent="0.35">
      <c r="A177" t="s">
        <v>336</v>
      </c>
      <c r="B177" t="s">
        <v>72</v>
      </c>
      <c r="C177" t="s">
        <v>37</v>
      </c>
      <c r="D177" t="s">
        <v>31</v>
      </c>
      <c r="E177" t="s">
        <v>52</v>
      </c>
      <c r="F177" t="str">
        <f>TEXT(Data[[#This Row],[Applied Date]],"mmmm")</f>
        <v>June</v>
      </c>
      <c r="G177" t="s">
        <v>33</v>
      </c>
      <c r="H177" t="s">
        <v>33</v>
      </c>
      <c r="I177" t="s">
        <v>33</v>
      </c>
      <c r="J177" t="s">
        <v>40</v>
      </c>
      <c r="K177" t="s">
        <v>40</v>
      </c>
      <c r="L177">
        <v>23</v>
      </c>
      <c r="M177" t="s">
        <v>57</v>
      </c>
      <c r="N177" t="s">
        <v>42</v>
      </c>
      <c r="O177">
        <v>40</v>
      </c>
      <c r="P177">
        <v>8</v>
      </c>
      <c r="Q177">
        <v>14377000</v>
      </c>
      <c r="R177">
        <v>13821000</v>
      </c>
      <c r="S177" t="s">
        <v>9</v>
      </c>
    </row>
    <row r="178" spans="1:19" x14ac:dyDescent="0.35">
      <c r="A178" t="s">
        <v>337</v>
      </c>
      <c r="B178" t="s">
        <v>82</v>
      </c>
      <c r="C178" t="s">
        <v>83</v>
      </c>
      <c r="D178" t="s">
        <v>79</v>
      </c>
      <c r="E178" t="s">
        <v>338</v>
      </c>
      <c r="F178" t="str">
        <f>TEXT(Data[[#This Row],[Applied Date]],"mmmm")</f>
        <v>March</v>
      </c>
      <c r="G178" t="s">
        <v>33</v>
      </c>
      <c r="H178" t="s">
        <v>23</v>
      </c>
      <c r="I178" t="s">
        <v>24</v>
      </c>
      <c r="J178" t="s">
        <v>24</v>
      </c>
      <c r="K178" t="s">
        <v>24</v>
      </c>
      <c r="M178" t="s">
        <v>25</v>
      </c>
      <c r="N178" t="s">
        <v>42</v>
      </c>
      <c r="O178">
        <v>28</v>
      </c>
      <c r="P178">
        <v>5</v>
      </c>
      <c r="Q178">
        <v>11726000</v>
      </c>
      <c r="S178" t="s">
        <v>27</v>
      </c>
    </row>
    <row r="179" spans="1:19" x14ac:dyDescent="0.35">
      <c r="A179" t="s">
        <v>339</v>
      </c>
      <c r="B179" t="s">
        <v>29</v>
      </c>
      <c r="C179" t="s">
        <v>30</v>
      </c>
      <c r="D179" t="s">
        <v>46</v>
      </c>
      <c r="E179" t="s">
        <v>255</v>
      </c>
      <c r="F179" t="str">
        <f>TEXT(Data[[#This Row],[Applied Date]],"mmmm")</f>
        <v>March</v>
      </c>
      <c r="G179" t="s">
        <v>33</v>
      </c>
      <c r="H179" t="s">
        <v>33</v>
      </c>
      <c r="I179" t="s">
        <v>33</v>
      </c>
      <c r="J179" t="s">
        <v>40</v>
      </c>
      <c r="K179" t="s">
        <v>40</v>
      </c>
      <c r="L179">
        <v>14</v>
      </c>
      <c r="M179" t="s">
        <v>63</v>
      </c>
      <c r="N179" t="s">
        <v>42</v>
      </c>
      <c r="O179">
        <v>34</v>
      </c>
      <c r="P179">
        <v>6</v>
      </c>
      <c r="Q179">
        <v>12079000</v>
      </c>
      <c r="R179">
        <v>12024000</v>
      </c>
      <c r="S179" t="s">
        <v>9</v>
      </c>
    </row>
    <row r="180" spans="1:19" x14ac:dyDescent="0.35">
      <c r="A180" t="s">
        <v>340</v>
      </c>
      <c r="B180" t="s">
        <v>66</v>
      </c>
      <c r="C180" t="s">
        <v>67</v>
      </c>
      <c r="D180" t="s">
        <v>38</v>
      </c>
      <c r="E180" t="s">
        <v>59</v>
      </c>
      <c r="F180" t="str">
        <f>TEXT(Data[[#This Row],[Applied Date]],"mmmm")</f>
        <v>June</v>
      </c>
      <c r="G180" t="s">
        <v>33</v>
      </c>
      <c r="H180" t="s">
        <v>33</v>
      </c>
      <c r="I180" t="s">
        <v>33</v>
      </c>
      <c r="J180" t="s">
        <v>40</v>
      </c>
      <c r="K180" t="s">
        <v>40</v>
      </c>
      <c r="L180">
        <v>13</v>
      </c>
      <c r="M180" t="s">
        <v>41</v>
      </c>
      <c r="N180" t="s">
        <v>26</v>
      </c>
      <c r="O180">
        <v>40</v>
      </c>
      <c r="P180">
        <v>2</v>
      </c>
      <c r="Q180">
        <v>7057000</v>
      </c>
      <c r="R180">
        <v>7041000</v>
      </c>
      <c r="S180" t="s">
        <v>9</v>
      </c>
    </row>
    <row r="181" spans="1:19" x14ac:dyDescent="0.35">
      <c r="A181" t="s">
        <v>341</v>
      </c>
      <c r="B181" t="s">
        <v>36</v>
      </c>
      <c r="C181" t="s">
        <v>37</v>
      </c>
      <c r="D181" t="s">
        <v>51</v>
      </c>
      <c r="E181" t="s">
        <v>342</v>
      </c>
      <c r="F181" t="str">
        <f>TEXT(Data[[#This Row],[Applied Date]],"mmmm")</f>
        <v>January</v>
      </c>
      <c r="G181" t="s">
        <v>33</v>
      </c>
      <c r="H181" t="s">
        <v>23</v>
      </c>
      <c r="I181" t="s">
        <v>24</v>
      </c>
      <c r="J181" t="s">
        <v>24</v>
      </c>
      <c r="K181" t="s">
        <v>24</v>
      </c>
      <c r="M181" t="s">
        <v>41</v>
      </c>
      <c r="N181" t="s">
        <v>26</v>
      </c>
      <c r="O181">
        <v>23</v>
      </c>
      <c r="P181">
        <v>4</v>
      </c>
      <c r="Q181">
        <v>9595000</v>
      </c>
      <c r="S181" t="s">
        <v>27</v>
      </c>
    </row>
    <row r="182" spans="1:19" x14ac:dyDescent="0.35">
      <c r="A182" t="s">
        <v>343</v>
      </c>
      <c r="B182" t="s">
        <v>44</v>
      </c>
      <c r="C182" t="s">
        <v>45</v>
      </c>
      <c r="D182" t="s">
        <v>31</v>
      </c>
      <c r="E182" t="s">
        <v>304</v>
      </c>
      <c r="F182" t="str">
        <f>TEXT(Data[[#This Row],[Applied Date]],"mmmm")</f>
        <v>February</v>
      </c>
      <c r="G182" t="s">
        <v>33</v>
      </c>
      <c r="H182" t="s">
        <v>23</v>
      </c>
      <c r="I182" t="s">
        <v>24</v>
      </c>
      <c r="J182" t="s">
        <v>24</v>
      </c>
      <c r="K182" t="s">
        <v>24</v>
      </c>
      <c r="M182" t="s">
        <v>25</v>
      </c>
      <c r="N182" t="s">
        <v>42</v>
      </c>
      <c r="O182">
        <v>29</v>
      </c>
      <c r="P182">
        <v>5</v>
      </c>
      <c r="Q182">
        <v>11759000</v>
      </c>
      <c r="S182" t="s">
        <v>27</v>
      </c>
    </row>
    <row r="183" spans="1:19" x14ac:dyDescent="0.35">
      <c r="A183" t="s">
        <v>344</v>
      </c>
      <c r="B183" t="s">
        <v>82</v>
      </c>
      <c r="C183" t="s">
        <v>83</v>
      </c>
      <c r="D183" t="s">
        <v>21</v>
      </c>
      <c r="E183" t="s">
        <v>255</v>
      </c>
      <c r="F183" t="str">
        <f>TEXT(Data[[#This Row],[Applied Date]],"mmmm")</f>
        <v>March</v>
      </c>
      <c r="G183" t="s">
        <v>33</v>
      </c>
      <c r="H183" t="s">
        <v>33</v>
      </c>
      <c r="I183" t="s">
        <v>33</v>
      </c>
      <c r="J183" t="s">
        <v>40</v>
      </c>
      <c r="K183" t="s">
        <v>40</v>
      </c>
      <c r="L183">
        <v>14</v>
      </c>
      <c r="M183" t="s">
        <v>25</v>
      </c>
      <c r="N183" t="s">
        <v>26</v>
      </c>
      <c r="O183">
        <v>31</v>
      </c>
      <c r="P183">
        <v>4</v>
      </c>
      <c r="Q183">
        <v>10176000</v>
      </c>
      <c r="R183">
        <v>10125000</v>
      </c>
      <c r="S183" t="s">
        <v>9</v>
      </c>
    </row>
    <row r="184" spans="1:19" x14ac:dyDescent="0.35">
      <c r="A184" t="s">
        <v>345</v>
      </c>
      <c r="B184" t="s">
        <v>82</v>
      </c>
      <c r="C184" t="s">
        <v>83</v>
      </c>
      <c r="D184" t="s">
        <v>51</v>
      </c>
      <c r="E184" t="s">
        <v>346</v>
      </c>
      <c r="F184" t="str">
        <f>TEXT(Data[[#This Row],[Applied Date]],"mmmm")</f>
        <v>April</v>
      </c>
      <c r="G184" t="s">
        <v>33</v>
      </c>
      <c r="H184" t="s">
        <v>33</v>
      </c>
      <c r="I184" t="s">
        <v>33</v>
      </c>
      <c r="J184" t="s">
        <v>40</v>
      </c>
      <c r="K184" t="s">
        <v>40</v>
      </c>
      <c r="L184">
        <v>12</v>
      </c>
      <c r="M184" t="s">
        <v>25</v>
      </c>
      <c r="N184" t="s">
        <v>26</v>
      </c>
      <c r="O184">
        <v>26</v>
      </c>
      <c r="P184">
        <v>2</v>
      </c>
      <c r="Q184">
        <v>7262000</v>
      </c>
      <c r="R184">
        <v>7177000</v>
      </c>
      <c r="S184" t="s">
        <v>9</v>
      </c>
    </row>
    <row r="185" spans="1:19" x14ac:dyDescent="0.35">
      <c r="A185" t="s">
        <v>347</v>
      </c>
      <c r="B185" t="s">
        <v>66</v>
      </c>
      <c r="C185" t="s">
        <v>67</v>
      </c>
      <c r="D185" t="s">
        <v>51</v>
      </c>
      <c r="E185" t="s">
        <v>144</v>
      </c>
      <c r="F185" t="str">
        <f>TEXT(Data[[#This Row],[Applied Date]],"mmmm")</f>
        <v>May</v>
      </c>
      <c r="G185" t="s">
        <v>33</v>
      </c>
      <c r="H185" t="s">
        <v>23</v>
      </c>
      <c r="I185" t="s">
        <v>24</v>
      </c>
      <c r="J185" t="s">
        <v>24</v>
      </c>
      <c r="K185" t="s">
        <v>24</v>
      </c>
      <c r="M185" t="s">
        <v>57</v>
      </c>
      <c r="N185" t="s">
        <v>42</v>
      </c>
      <c r="O185">
        <v>24</v>
      </c>
      <c r="P185">
        <v>0</v>
      </c>
      <c r="Q185">
        <v>5121000</v>
      </c>
      <c r="S185" t="s">
        <v>27</v>
      </c>
    </row>
    <row r="186" spans="1:19" x14ac:dyDescent="0.35">
      <c r="A186" t="s">
        <v>348</v>
      </c>
      <c r="B186" t="s">
        <v>82</v>
      </c>
      <c r="C186" t="s">
        <v>83</v>
      </c>
      <c r="D186" t="s">
        <v>79</v>
      </c>
      <c r="E186" t="s">
        <v>269</v>
      </c>
      <c r="F186" t="str">
        <f>TEXT(Data[[#This Row],[Applied Date]],"mmmm")</f>
        <v>May</v>
      </c>
      <c r="G186" t="s">
        <v>33</v>
      </c>
      <c r="H186" t="s">
        <v>33</v>
      </c>
      <c r="I186" t="s">
        <v>33</v>
      </c>
      <c r="J186" t="s">
        <v>40</v>
      </c>
      <c r="K186" t="s">
        <v>40</v>
      </c>
      <c r="L186">
        <v>20</v>
      </c>
      <c r="M186" t="s">
        <v>41</v>
      </c>
      <c r="N186" t="s">
        <v>26</v>
      </c>
      <c r="O186">
        <v>36</v>
      </c>
      <c r="P186">
        <v>10</v>
      </c>
      <c r="Q186">
        <v>17309000</v>
      </c>
      <c r="R186">
        <v>16718000</v>
      </c>
      <c r="S186" t="s">
        <v>9</v>
      </c>
    </row>
    <row r="187" spans="1:19" x14ac:dyDescent="0.35">
      <c r="A187" t="s">
        <v>349</v>
      </c>
      <c r="B187" t="s">
        <v>49</v>
      </c>
      <c r="C187" t="s">
        <v>50</v>
      </c>
      <c r="D187" t="s">
        <v>31</v>
      </c>
      <c r="E187" t="s">
        <v>350</v>
      </c>
      <c r="F187" t="str">
        <f>TEXT(Data[[#This Row],[Applied Date]],"mmmm")</f>
        <v>June</v>
      </c>
      <c r="G187" t="s">
        <v>33</v>
      </c>
      <c r="H187" t="s">
        <v>33</v>
      </c>
      <c r="I187" t="s">
        <v>33</v>
      </c>
      <c r="J187" t="s">
        <v>40</v>
      </c>
      <c r="K187" t="s">
        <v>40</v>
      </c>
      <c r="L187">
        <v>14</v>
      </c>
      <c r="M187" t="s">
        <v>57</v>
      </c>
      <c r="N187" t="s">
        <v>42</v>
      </c>
      <c r="O187">
        <v>25</v>
      </c>
      <c r="P187">
        <v>2</v>
      </c>
      <c r="Q187">
        <v>7229000</v>
      </c>
      <c r="R187">
        <v>6976000</v>
      </c>
      <c r="S187" t="s">
        <v>9</v>
      </c>
    </row>
    <row r="188" spans="1:19" x14ac:dyDescent="0.35">
      <c r="A188" t="s">
        <v>351</v>
      </c>
      <c r="B188" t="s">
        <v>49</v>
      </c>
      <c r="C188" t="s">
        <v>50</v>
      </c>
      <c r="D188" t="s">
        <v>51</v>
      </c>
      <c r="E188" t="s">
        <v>219</v>
      </c>
      <c r="F188" t="str">
        <f>TEXT(Data[[#This Row],[Applied Date]],"mmmm")</f>
        <v>January</v>
      </c>
      <c r="G188" t="s">
        <v>33</v>
      </c>
      <c r="H188" t="s">
        <v>33</v>
      </c>
      <c r="I188" t="s">
        <v>33</v>
      </c>
      <c r="J188" t="s">
        <v>40</v>
      </c>
      <c r="K188" t="s">
        <v>40</v>
      </c>
      <c r="L188">
        <v>33</v>
      </c>
      <c r="M188" t="s">
        <v>41</v>
      </c>
      <c r="N188" t="s">
        <v>26</v>
      </c>
      <c r="O188">
        <v>37</v>
      </c>
      <c r="P188">
        <v>0</v>
      </c>
      <c r="Q188">
        <v>5256000</v>
      </c>
      <c r="R188">
        <v>4995000</v>
      </c>
      <c r="S188" t="s">
        <v>9</v>
      </c>
    </row>
    <row r="189" spans="1:19" x14ac:dyDescent="0.35">
      <c r="A189" t="s">
        <v>352</v>
      </c>
      <c r="B189" t="s">
        <v>36</v>
      </c>
      <c r="C189" t="s">
        <v>37</v>
      </c>
      <c r="D189" t="s">
        <v>31</v>
      </c>
      <c r="E189" t="s">
        <v>353</v>
      </c>
      <c r="F189" t="str">
        <f>TEXT(Data[[#This Row],[Applied Date]],"mmmm")</f>
        <v>May</v>
      </c>
      <c r="G189" t="s">
        <v>33</v>
      </c>
      <c r="H189" t="s">
        <v>23</v>
      </c>
      <c r="I189" t="s">
        <v>24</v>
      </c>
      <c r="J189" t="s">
        <v>24</v>
      </c>
      <c r="K189" t="s">
        <v>24</v>
      </c>
      <c r="M189" t="s">
        <v>34</v>
      </c>
      <c r="N189" t="s">
        <v>26</v>
      </c>
      <c r="O189">
        <v>34</v>
      </c>
      <c r="P189">
        <v>1</v>
      </c>
      <c r="Q189">
        <v>5746000</v>
      </c>
      <c r="S189" t="s">
        <v>27</v>
      </c>
    </row>
    <row r="190" spans="1:19" x14ac:dyDescent="0.35">
      <c r="A190" t="s">
        <v>354</v>
      </c>
      <c r="B190" t="s">
        <v>49</v>
      </c>
      <c r="C190" t="s">
        <v>50</v>
      </c>
      <c r="D190" t="s">
        <v>31</v>
      </c>
      <c r="E190" t="s">
        <v>355</v>
      </c>
      <c r="F190" t="str">
        <f>TEXT(Data[[#This Row],[Applied Date]],"mmmm")</f>
        <v>May</v>
      </c>
      <c r="G190" t="s">
        <v>33</v>
      </c>
      <c r="H190" t="s">
        <v>33</v>
      </c>
      <c r="I190" t="s">
        <v>33</v>
      </c>
      <c r="J190" t="s">
        <v>40</v>
      </c>
      <c r="K190" t="s">
        <v>40</v>
      </c>
      <c r="L190">
        <v>16</v>
      </c>
      <c r="M190" t="s">
        <v>25</v>
      </c>
      <c r="N190" t="s">
        <v>26</v>
      </c>
      <c r="O190">
        <v>34</v>
      </c>
      <c r="P190">
        <v>6</v>
      </c>
      <c r="Q190">
        <v>12506000</v>
      </c>
      <c r="R190">
        <v>12339000</v>
      </c>
      <c r="S190" t="s">
        <v>9</v>
      </c>
    </row>
    <row r="191" spans="1:19" x14ac:dyDescent="0.35">
      <c r="A191" t="s">
        <v>356</v>
      </c>
      <c r="B191" t="s">
        <v>44</v>
      </c>
      <c r="C191" t="s">
        <v>45</v>
      </c>
      <c r="D191" t="s">
        <v>31</v>
      </c>
      <c r="E191" t="s">
        <v>117</v>
      </c>
      <c r="F191" t="str">
        <f>TEXT(Data[[#This Row],[Applied Date]],"mmmm")</f>
        <v>February</v>
      </c>
      <c r="G191" t="s">
        <v>33</v>
      </c>
      <c r="H191" t="s">
        <v>23</v>
      </c>
      <c r="I191" t="s">
        <v>24</v>
      </c>
      <c r="J191" t="s">
        <v>24</v>
      </c>
      <c r="K191" t="s">
        <v>24</v>
      </c>
      <c r="M191" t="s">
        <v>63</v>
      </c>
      <c r="N191" t="s">
        <v>42</v>
      </c>
      <c r="O191">
        <v>26</v>
      </c>
      <c r="P191">
        <v>4</v>
      </c>
      <c r="Q191">
        <v>9546000</v>
      </c>
      <c r="S191" t="s">
        <v>27</v>
      </c>
    </row>
    <row r="192" spans="1:19" x14ac:dyDescent="0.35">
      <c r="A192" t="s">
        <v>357</v>
      </c>
      <c r="B192" t="s">
        <v>82</v>
      </c>
      <c r="C192" t="s">
        <v>83</v>
      </c>
      <c r="D192" t="s">
        <v>21</v>
      </c>
      <c r="E192" t="s">
        <v>358</v>
      </c>
      <c r="F192" t="str">
        <f>TEXT(Data[[#This Row],[Applied Date]],"mmmm")</f>
        <v>February</v>
      </c>
      <c r="G192" t="s">
        <v>33</v>
      </c>
      <c r="H192" t="s">
        <v>33</v>
      </c>
      <c r="I192" t="s">
        <v>33</v>
      </c>
      <c r="J192" t="s">
        <v>40</v>
      </c>
      <c r="K192" t="s">
        <v>40</v>
      </c>
      <c r="L192">
        <v>32</v>
      </c>
      <c r="M192" t="s">
        <v>63</v>
      </c>
      <c r="N192" t="s">
        <v>26</v>
      </c>
      <c r="O192">
        <v>23</v>
      </c>
      <c r="P192">
        <v>3</v>
      </c>
      <c r="Q192">
        <v>9129000</v>
      </c>
      <c r="R192">
        <v>9107000</v>
      </c>
      <c r="S192" t="s">
        <v>9</v>
      </c>
    </row>
    <row r="193" spans="1:19" x14ac:dyDescent="0.35">
      <c r="A193" t="s">
        <v>359</v>
      </c>
      <c r="B193" t="s">
        <v>29</v>
      </c>
      <c r="C193" t="s">
        <v>30</v>
      </c>
      <c r="D193" t="s">
        <v>38</v>
      </c>
      <c r="E193" t="s">
        <v>151</v>
      </c>
      <c r="F193" t="str">
        <f>TEXT(Data[[#This Row],[Applied Date]],"mmmm")</f>
        <v>February</v>
      </c>
      <c r="G193" t="s">
        <v>23</v>
      </c>
      <c r="H193" t="s">
        <v>24</v>
      </c>
      <c r="I193" t="s">
        <v>24</v>
      </c>
      <c r="J193" t="s">
        <v>24</v>
      </c>
      <c r="K193" t="s">
        <v>24</v>
      </c>
      <c r="M193" t="s">
        <v>34</v>
      </c>
      <c r="N193" t="s">
        <v>42</v>
      </c>
      <c r="O193">
        <v>40</v>
      </c>
      <c r="P193">
        <v>3</v>
      </c>
      <c r="Q193">
        <v>8619000</v>
      </c>
      <c r="S193" t="s">
        <v>27</v>
      </c>
    </row>
    <row r="194" spans="1:19" x14ac:dyDescent="0.35">
      <c r="A194" t="s">
        <v>360</v>
      </c>
      <c r="B194" t="s">
        <v>29</v>
      </c>
      <c r="C194" t="s">
        <v>30</v>
      </c>
      <c r="D194" t="s">
        <v>38</v>
      </c>
      <c r="E194" t="s">
        <v>361</v>
      </c>
      <c r="F194" t="str">
        <f>TEXT(Data[[#This Row],[Applied Date]],"mmmm")</f>
        <v>June</v>
      </c>
      <c r="G194" t="s">
        <v>33</v>
      </c>
      <c r="H194" t="s">
        <v>33</v>
      </c>
      <c r="I194" t="s">
        <v>33</v>
      </c>
      <c r="J194" t="s">
        <v>40</v>
      </c>
      <c r="K194" t="s">
        <v>62</v>
      </c>
      <c r="L194">
        <v>21</v>
      </c>
      <c r="M194" t="s">
        <v>41</v>
      </c>
      <c r="N194" t="s">
        <v>26</v>
      </c>
      <c r="O194">
        <v>38</v>
      </c>
      <c r="P194">
        <v>5</v>
      </c>
      <c r="Q194">
        <v>11011000</v>
      </c>
      <c r="S194" t="s">
        <v>64</v>
      </c>
    </row>
    <row r="195" spans="1:19" x14ac:dyDescent="0.35">
      <c r="A195" t="s">
        <v>362</v>
      </c>
      <c r="B195" t="s">
        <v>49</v>
      </c>
      <c r="C195" t="s">
        <v>50</v>
      </c>
      <c r="D195" t="s">
        <v>79</v>
      </c>
      <c r="E195" t="s">
        <v>281</v>
      </c>
      <c r="F195" t="str">
        <f>TEXT(Data[[#This Row],[Applied Date]],"mmmm")</f>
        <v>May</v>
      </c>
      <c r="G195" t="s">
        <v>33</v>
      </c>
      <c r="H195" t="s">
        <v>33</v>
      </c>
      <c r="I195" t="s">
        <v>23</v>
      </c>
      <c r="J195" t="s">
        <v>24</v>
      </c>
      <c r="K195" t="s">
        <v>24</v>
      </c>
      <c r="M195" t="s">
        <v>41</v>
      </c>
      <c r="N195" t="s">
        <v>26</v>
      </c>
      <c r="O195">
        <v>35</v>
      </c>
      <c r="P195">
        <v>1</v>
      </c>
      <c r="Q195">
        <v>6207000</v>
      </c>
      <c r="S195" t="s">
        <v>27</v>
      </c>
    </row>
    <row r="196" spans="1:19" x14ac:dyDescent="0.35">
      <c r="A196" t="s">
        <v>363</v>
      </c>
      <c r="B196" t="s">
        <v>49</v>
      </c>
      <c r="C196" t="s">
        <v>50</v>
      </c>
      <c r="D196" t="s">
        <v>31</v>
      </c>
      <c r="E196" t="s">
        <v>178</v>
      </c>
      <c r="F196" t="str">
        <f>TEXT(Data[[#This Row],[Applied Date]],"mmmm")</f>
        <v>April</v>
      </c>
      <c r="G196" t="s">
        <v>33</v>
      </c>
      <c r="H196" t="s">
        <v>23</v>
      </c>
      <c r="I196" t="s">
        <v>24</v>
      </c>
      <c r="J196" t="s">
        <v>24</v>
      </c>
      <c r="K196" t="s">
        <v>24</v>
      </c>
      <c r="M196" t="s">
        <v>57</v>
      </c>
      <c r="N196" t="s">
        <v>26</v>
      </c>
      <c r="O196">
        <v>40</v>
      </c>
      <c r="P196">
        <v>3</v>
      </c>
      <c r="Q196">
        <v>8593000</v>
      </c>
      <c r="S196" t="s">
        <v>27</v>
      </c>
    </row>
    <row r="197" spans="1:19" x14ac:dyDescent="0.35">
      <c r="A197" t="s">
        <v>364</v>
      </c>
      <c r="B197" t="s">
        <v>29</v>
      </c>
      <c r="C197" t="s">
        <v>30</v>
      </c>
      <c r="D197" t="s">
        <v>31</v>
      </c>
      <c r="E197" t="s">
        <v>80</v>
      </c>
      <c r="F197" t="str">
        <f>TEXT(Data[[#This Row],[Applied Date]],"mmmm")</f>
        <v>March</v>
      </c>
      <c r="G197" t="s">
        <v>23</v>
      </c>
      <c r="H197" t="s">
        <v>24</v>
      </c>
      <c r="I197" t="s">
        <v>24</v>
      </c>
      <c r="J197" t="s">
        <v>24</v>
      </c>
      <c r="K197" t="s">
        <v>24</v>
      </c>
      <c r="M197" t="s">
        <v>25</v>
      </c>
      <c r="N197" t="s">
        <v>42</v>
      </c>
      <c r="O197">
        <v>38</v>
      </c>
      <c r="P197">
        <v>2</v>
      </c>
      <c r="Q197">
        <v>7234000</v>
      </c>
      <c r="S197" t="s">
        <v>27</v>
      </c>
    </row>
    <row r="198" spans="1:19" x14ac:dyDescent="0.35">
      <c r="A198" t="s">
        <v>365</v>
      </c>
      <c r="B198" t="s">
        <v>82</v>
      </c>
      <c r="C198" t="s">
        <v>83</v>
      </c>
      <c r="D198" t="s">
        <v>79</v>
      </c>
      <c r="E198" t="s">
        <v>144</v>
      </c>
      <c r="F198" t="str">
        <f>TEXT(Data[[#This Row],[Applied Date]],"mmmm")</f>
        <v>May</v>
      </c>
      <c r="G198" t="s">
        <v>33</v>
      </c>
      <c r="H198" t="s">
        <v>33</v>
      </c>
      <c r="I198" t="s">
        <v>33</v>
      </c>
      <c r="J198" t="s">
        <v>40</v>
      </c>
      <c r="K198" t="s">
        <v>40</v>
      </c>
      <c r="L198">
        <v>13</v>
      </c>
      <c r="M198" t="s">
        <v>63</v>
      </c>
      <c r="N198" t="s">
        <v>26</v>
      </c>
      <c r="O198">
        <v>26</v>
      </c>
      <c r="P198">
        <v>8</v>
      </c>
      <c r="Q198">
        <v>14644000</v>
      </c>
      <c r="R198">
        <v>14431000</v>
      </c>
      <c r="S198" t="s">
        <v>9</v>
      </c>
    </row>
    <row r="199" spans="1:19" x14ac:dyDescent="0.35">
      <c r="A199" t="s">
        <v>366</v>
      </c>
      <c r="B199" t="s">
        <v>44</v>
      </c>
      <c r="C199" t="s">
        <v>45</v>
      </c>
      <c r="D199" t="s">
        <v>46</v>
      </c>
      <c r="E199" t="s">
        <v>271</v>
      </c>
      <c r="F199" t="str">
        <f>TEXT(Data[[#This Row],[Applied Date]],"mmmm")</f>
        <v>April</v>
      </c>
      <c r="G199" t="s">
        <v>23</v>
      </c>
      <c r="H199" t="s">
        <v>24</v>
      </c>
      <c r="I199" t="s">
        <v>24</v>
      </c>
      <c r="J199" t="s">
        <v>24</v>
      </c>
      <c r="K199" t="s">
        <v>24</v>
      </c>
      <c r="M199" t="s">
        <v>57</v>
      </c>
      <c r="N199" t="s">
        <v>42</v>
      </c>
      <c r="O199">
        <v>21</v>
      </c>
      <c r="P199">
        <v>5</v>
      </c>
      <c r="Q199">
        <v>10666000</v>
      </c>
      <c r="S199" t="s">
        <v>27</v>
      </c>
    </row>
    <row r="200" spans="1:19" x14ac:dyDescent="0.35">
      <c r="A200" t="s">
        <v>367</v>
      </c>
      <c r="B200" t="s">
        <v>82</v>
      </c>
      <c r="C200" t="s">
        <v>83</v>
      </c>
      <c r="D200" t="s">
        <v>38</v>
      </c>
      <c r="E200" t="s">
        <v>32</v>
      </c>
      <c r="F200" t="str">
        <f>TEXT(Data[[#This Row],[Applied Date]],"mmmm")</f>
        <v>May</v>
      </c>
      <c r="G200" t="s">
        <v>33</v>
      </c>
      <c r="H200" t="s">
        <v>33</v>
      </c>
      <c r="I200" t="s">
        <v>33</v>
      </c>
      <c r="J200" t="s">
        <v>40</v>
      </c>
      <c r="K200" t="s">
        <v>40</v>
      </c>
      <c r="L200">
        <v>19</v>
      </c>
      <c r="M200" t="s">
        <v>25</v>
      </c>
      <c r="N200" t="s">
        <v>26</v>
      </c>
      <c r="O200">
        <v>40</v>
      </c>
      <c r="P200">
        <v>8</v>
      </c>
      <c r="Q200">
        <v>14122000</v>
      </c>
      <c r="R200">
        <v>13479000</v>
      </c>
      <c r="S200" t="s">
        <v>9</v>
      </c>
    </row>
    <row r="201" spans="1:19" x14ac:dyDescent="0.35">
      <c r="A201" t="s">
        <v>368</v>
      </c>
      <c r="B201" t="s">
        <v>44</v>
      </c>
      <c r="C201" t="s">
        <v>45</v>
      </c>
      <c r="D201" t="s">
        <v>31</v>
      </c>
      <c r="E201" t="s">
        <v>68</v>
      </c>
      <c r="F201" t="str">
        <f>TEXT(Data[[#This Row],[Applied Date]],"mmmm")</f>
        <v>June</v>
      </c>
      <c r="G201" t="s">
        <v>23</v>
      </c>
      <c r="H201" t="s">
        <v>24</v>
      </c>
      <c r="I201" t="s">
        <v>24</v>
      </c>
      <c r="J201" t="s">
        <v>24</v>
      </c>
      <c r="K201" t="s">
        <v>24</v>
      </c>
      <c r="M201" t="s">
        <v>63</v>
      </c>
      <c r="N201" t="s">
        <v>26</v>
      </c>
      <c r="O201">
        <v>24</v>
      </c>
      <c r="P201">
        <v>4</v>
      </c>
      <c r="Q201">
        <v>10131000</v>
      </c>
      <c r="S201" t="s">
        <v>27</v>
      </c>
    </row>
    <row r="202" spans="1:19" x14ac:dyDescent="0.35">
      <c r="A202" t="s">
        <v>369</v>
      </c>
      <c r="B202" t="s">
        <v>82</v>
      </c>
      <c r="C202" t="s">
        <v>83</v>
      </c>
      <c r="D202" t="s">
        <v>21</v>
      </c>
      <c r="E202" t="s">
        <v>229</v>
      </c>
      <c r="F202" t="str">
        <f>TEXT(Data[[#This Row],[Applied Date]],"mmmm")</f>
        <v>February</v>
      </c>
      <c r="G202" t="s">
        <v>23</v>
      </c>
      <c r="H202" t="s">
        <v>24</v>
      </c>
      <c r="I202" t="s">
        <v>24</v>
      </c>
      <c r="J202" t="s">
        <v>24</v>
      </c>
      <c r="K202" t="s">
        <v>24</v>
      </c>
      <c r="M202" t="s">
        <v>25</v>
      </c>
      <c r="N202" t="s">
        <v>26</v>
      </c>
      <c r="O202">
        <v>29</v>
      </c>
      <c r="P202">
        <v>1</v>
      </c>
      <c r="Q202">
        <v>5919000</v>
      </c>
      <c r="S202" t="s">
        <v>27</v>
      </c>
    </row>
    <row r="203" spans="1:19" x14ac:dyDescent="0.35">
      <c r="A203" t="s">
        <v>370</v>
      </c>
      <c r="B203" t="s">
        <v>36</v>
      </c>
      <c r="C203" t="s">
        <v>37</v>
      </c>
      <c r="D203" t="s">
        <v>21</v>
      </c>
      <c r="E203" t="s">
        <v>278</v>
      </c>
      <c r="F203" t="str">
        <f>TEXT(Data[[#This Row],[Applied Date]],"mmmm")</f>
        <v>January</v>
      </c>
      <c r="G203" t="s">
        <v>33</v>
      </c>
      <c r="H203" t="s">
        <v>23</v>
      </c>
      <c r="I203" t="s">
        <v>24</v>
      </c>
      <c r="J203" t="s">
        <v>24</v>
      </c>
      <c r="K203" t="s">
        <v>24</v>
      </c>
      <c r="M203" t="s">
        <v>41</v>
      </c>
      <c r="N203" t="s">
        <v>42</v>
      </c>
      <c r="O203">
        <v>26</v>
      </c>
      <c r="P203">
        <v>1</v>
      </c>
      <c r="Q203">
        <v>6780000</v>
      </c>
      <c r="S203" t="s">
        <v>27</v>
      </c>
    </row>
    <row r="204" spans="1:19" x14ac:dyDescent="0.35">
      <c r="A204" t="s">
        <v>371</v>
      </c>
      <c r="B204" t="s">
        <v>44</v>
      </c>
      <c r="C204" t="s">
        <v>45</v>
      </c>
      <c r="D204" t="s">
        <v>51</v>
      </c>
      <c r="E204" t="s">
        <v>372</v>
      </c>
      <c r="F204" t="str">
        <f>TEXT(Data[[#This Row],[Applied Date]],"mmmm")</f>
        <v>January</v>
      </c>
      <c r="G204" t="s">
        <v>23</v>
      </c>
      <c r="H204" t="s">
        <v>24</v>
      </c>
      <c r="I204" t="s">
        <v>24</v>
      </c>
      <c r="J204" t="s">
        <v>24</v>
      </c>
      <c r="K204" t="s">
        <v>24</v>
      </c>
      <c r="M204" t="s">
        <v>41</v>
      </c>
      <c r="N204" t="s">
        <v>42</v>
      </c>
      <c r="O204">
        <v>32</v>
      </c>
      <c r="P204">
        <v>1</v>
      </c>
      <c r="Q204">
        <v>6888000</v>
      </c>
      <c r="S204" t="s">
        <v>27</v>
      </c>
    </row>
    <row r="205" spans="1:19" x14ac:dyDescent="0.35">
      <c r="A205" t="s">
        <v>373</v>
      </c>
      <c r="B205" t="s">
        <v>66</v>
      </c>
      <c r="C205" t="s">
        <v>67</v>
      </c>
      <c r="D205" t="s">
        <v>38</v>
      </c>
      <c r="E205" t="s">
        <v>94</v>
      </c>
      <c r="F205" t="str">
        <f>TEXT(Data[[#This Row],[Applied Date]],"mmmm")</f>
        <v>May</v>
      </c>
      <c r="G205" t="s">
        <v>23</v>
      </c>
      <c r="H205" t="s">
        <v>24</v>
      </c>
      <c r="I205" t="s">
        <v>24</v>
      </c>
      <c r="J205" t="s">
        <v>24</v>
      </c>
      <c r="K205" t="s">
        <v>24</v>
      </c>
      <c r="M205" t="s">
        <v>41</v>
      </c>
      <c r="N205" t="s">
        <v>42</v>
      </c>
      <c r="O205">
        <v>38</v>
      </c>
      <c r="P205">
        <v>1</v>
      </c>
      <c r="Q205">
        <v>6723000</v>
      </c>
      <c r="S205" t="s">
        <v>27</v>
      </c>
    </row>
    <row r="206" spans="1:19" x14ac:dyDescent="0.35">
      <c r="A206" t="s">
        <v>374</v>
      </c>
      <c r="B206" t="s">
        <v>66</v>
      </c>
      <c r="C206" t="s">
        <v>67</v>
      </c>
      <c r="D206" t="s">
        <v>46</v>
      </c>
      <c r="E206" t="s">
        <v>375</v>
      </c>
      <c r="F206" t="str">
        <f>TEXT(Data[[#This Row],[Applied Date]],"mmmm")</f>
        <v>March</v>
      </c>
      <c r="G206" t="s">
        <v>33</v>
      </c>
      <c r="H206" t="s">
        <v>33</v>
      </c>
      <c r="I206" t="s">
        <v>33</v>
      </c>
      <c r="J206" t="s">
        <v>40</v>
      </c>
      <c r="K206" t="s">
        <v>40</v>
      </c>
      <c r="L206">
        <v>18</v>
      </c>
      <c r="M206" t="s">
        <v>63</v>
      </c>
      <c r="N206" t="s">
        <v>42</v>
      </c>
      <c r="O206">
        <v>33</v>
      </c>
      <c r="P206">
        <v>7</v>
      </c>
      <c r="Q206">
        <v>13438000</v>
      </c>
      <c r="R206">
        <v>12800000</v>
      </c>
      <c r="S206" t="s">
        <v>9</v>
      </c>
    </row>
    <row r="207" spans="1:19" x14ac:dyDescent="0.35">
      <c r="A207" t="s">
        <v>376</v>
      </c>
      <c r="B207" t="s">
        <v>44</v>
      </c>
      <c r="C207" t="s">
        <v>45</v>
      </c>
      <c r="D207" t="s">
        <v>38</v>
      </c>
      <c r="E207" t="s">
        <v>338</v>
      </c>
      <c r="F207" t="str">
        <f>TEXT(Data[[#This Row],[Applied Date]],"mmmm")</f>
        <v>March</v>
      </c>
      <c r="G207" t="s">
        <v>33</v>
      </c>
      <c r="H207" t="s">
        <v>23</v>
      </c>
      <c r="I207" t="s">
        <v>24</v>
      </c>
      <c r="J207" t="s">
        <v>24</v>
      </c>
      <c r="K207" t="s">
        <v>24</v>
      </c>
      <c r="M207" t="s">
        <v>57</v>
      </c>
      <c r="N207" t="s">
        <v>26</v>
      </c>
      <c r="O207">
        <v>30</v>
      </c>
      <c r="P207">
        <v>10</v>
      </c>
      <c r="Q207">
        <v>17568000</v>
      </c>
      <c r="S207" t="s">
        <v>27</v>
      </c>
    </row>
    <row r="208" spans="1:19" x14ac:dyDescent="0.35">
      <c r="A208" t="s">
        <v>377</v>
      </c>
      <c r="B208" t="s">
        <v>82</v>
      </c>
      <c r="C208" t="s">
        <v>83</v>
      </c>
      <c r="D208" t="s">
        <v>38</v>
      </c>
      <c r="E208" t="s">
        <v>103</v>
      </c>
      <c r="F208" t="str">
        <f>TEXT(Data[[#This Row],[Applied Date]],"mmmm")</f>
        <v>May</v>
      </c>
      <c r="G208" t="s">
        <v>33</v>
      </c>
      <c r="H208" t="s">
        <v>33</v>
      </c>
      <c r="I208" t="s">
        <v>33</v>
      </c>
      <c r="J208" t="s">
        <v>40</v>
      </c>
      <c r="K208" t="s">
        <v>40</v>
      </c>
      <c r="L208">
        <v>24</v>
      </c>
      <c r="M208" t="s">
        <v>34</v>
      </c>
      <c r="N208" t="s">
        <v>26</v>
      </c>
      <c r="O208">
        <v>36</v>
      </c>
      <c r="P208">
        <v>10</v>
      </c>
      <c r="Q208">
        <v>17106000</v>
      </c>
      <c r="R208">
        <v>16372000</v>
      </c>
      <c r="S208" t="s">
        <v>9</v>
      </c>
    </row>
    <row r="209" spans="1:19" x14ac:dyDescent="0.35">
      <c r="A209" t="s">
        <v>378</v>
      </c>
      <c r="B209" t="s">
        <v>72</v>
      </c>
      <c r="C209" t="s">
        <v>37</v>
      </c>
      <c r="D209" t="s">
        <v>31</v>
      </c>
      <c r="E209" t="s">
        <v>73</v>
      </c>
      <c r="F209" t="str">
        <f>TEXT(Data[[#This Row],[Applied Date]],"mmmm")</f>
        <v>February</v>
      </c>
      <c r="G209" t="s">
        <v>33</v>
      </c>
      <c r="H209" t="s">
        <v>33</v>
      </c>
      <c r="I209" t="s">
        <v>33</v>
      </c>
      <c r="J209" t="s">
        <v>40</v>
      </c>
      <c r="K209" t="s">
        <v>40</v>
      </c>
      <c r="L209">
        <v>19</v>
      </c>
      <c r="M209" t="s">
        <v>57</v>
      </c>
      <c r="N209" t="s">
        <v>42</v>
      </c>
      <c r="O209">
        <v>35</v>
      </c>
      <c r="P209">
        <v>0</v>
      </c>
      <c r="Q209">
        <v>5284000</v>
      </c>
      <c r="R209">
        <v>5045000</v>
      </c>
      <c r="S209" t="s">
        <v>9</v>
      </c>
    </row>
    <row r="210" spans="1:19" x14ac:dyDescent="0.35">
      <c r="A210" t="s">
        <v>379</v>
      </c>
      <c r="B210" t="s">
        <v>49</v>
      </c>
      <c r="C210" t="s">
        <v>50</v>
      </c>
      <c r="D210" t="s">
        <v>21</v>
      </c>
      <c r="E210" t="s">
        <v>205</v>
      </c>
      <c r="F210" t="str">
        <f>TEXT(Data[[#This Row],[Applied Date]],"mmmm")</f>
        <v>June</v>
      </c>
      <c r="G210" t="s">
        <v>33</v>
      </c>
      <c r="H210" t="s">
        <v>33</v>
      </c>
      <c r="I210" t="s">
        <v>33</v>
      </c>
      <c r="J210" t="s">
        <v>40</v>
      </c>
      <c r="K210" t="s">
        <v>62</v>
      </c>
      <c r="L210">
        <v>28</v>
      </c>
      <c r="M210" t="s">
        <v>63</v>
      </c>
      <c r="N210" t="s">
        <v>42</v>
      </c>
      <c r="O210">
        <v>31</v>
      </c>
      <c r="P210">
        <v>0</v>
      </c>
      <c r="Q210">
        <v>4613000</v>
      </c>
      <c r="S210" t="s">
        <v>64</v>
      </c>
    </row>
    <row r="211" spans="1:19" x14ac:dyDescent="0.35">
      <c r="A211" t="s">
        <v>380</v>
      </c>
      <c r="B211" t="s">
        <v>49</v>
      </c>
      <c r="C211" t="s">
        <v>50</v>
      </c>
      <c r="D211" t="s">
        <v>31</v>
      </c>
      <c r="E211" t="s">
        <v>56</v>
      </c>
      <c r="F211" t="str">
        <f>TEXT(Data[[#This Row],[Applied Date]],"mmmm")</f>
        <v>February</v>
      </c>
      <c r="G211" t="s">
        <v>23</v>
      </c>
      <c r="H211" t="s">
        <v>24</v>
      </c>
      <c r="I211" t="s">
        <v>24</v>
      </c>
      <c r="J211" t="s">
        <v>24</v>
      </c>
      <c r="K211" t="s">
        <v>24</v>
      </c>
      <c r="M211" t="s">
        <v>34</v>
      </c>
      <c r="N211" t="s">
        <v>42</v>
      </c>
      <c r="O211">
        <v>29</v>
      </c>
      <c r="P211">
        <v>6</v>
      </c>
      <c r="Q211">
        <v>12069000</v>
      </c>
      <c r="S211" t="s">
        <v>27</v>
      </c>
    </row>
    <row r="212" spans="1:19" x14ac:dyDescent="0.35">
      <c r="A212" t="s">
        <v>381</v>
      </c>
      <c r="B212" t="s">
        <v>29</v>
      </c>
      <c r="C212" t="s">
        <v>30</v>
      </c>
      <c r="D212" t="s">
        <v>46</v>
      </c>
      <c r="E212" t="s">
        <v>103</v>
      </c>
      <c r="F212" t="str">
        <f>TEXT(Data[[#This Row],[Applied Date]],"mmmm")</f>
        <v>May</v>
      </c>
      <c r="G212" t="s">
        <v>33</v>
      </c>
      <c r="H212" t="s">
        <v>23</v>
      </c>
      <c r="I212" t="s">
        <v>24</v>
      </c>
      <c r="J212" t="s">
        <v>24</v>
      </c>
      <c r="K212" t="s">
        <v>24</v>
      </c>
      <c r="M212" t="s">
        <v>57</v>
      </c>
      <c r="N212" t="s">
        <v>42</v>
      </c>
      <c r="O212">
        <v>21</v>
      </c>
      <c r="P212">
        <v>6</v>
      </c>
      <c r="Q212">
        <v>12546000</v>
      </c>
      <c r="S212" t="s">
        <v>27</v>
      </c>
    </row>
    <row r="213" spans="1:19" x14ac:dyDescent="0.35">
      <c r="A213" t="s">
        <v>382</v>
      </c>
      <c r="B213" t="s">
        <v>72</v>
      </c>
      <c r="C213" t="s">
        <v>37</v>
      </c>
      <c r="D213" t="s">
        <v>46</v>
      </c>
      <c r="E213" t="s">
        <v>88</v>
      </c>
      <c r="F213" t="str">
        <f>TEXT(Data[[#This Row],[Applied Date]],"mmmm")</f>
        <v>February</v>
      </c>
      <c r="G213" t="s">
        <v>33</v>
      </c>
      <c r="H213" t="s">
        <v>33</v>
      </c>
      <c r="I213" t="s">
        <v>33</v>
      </c>
      <c r="J213" t="s">
        <v>40</v>
      </c>
      <c r="K213" t="s">
        <v>40</v>
      </c>
      <c r="L213">
        <v>20</v>
      </c>
      <c r="M213" t="s">
        <v>34</v>
      </c>
      <c r="N213" t="s">
        <v>26</v>
      </c>
      <c r="O213">
        <v>26</v>
      </c>
      <c r="P213">
        <v>9</v>
      </c>
      <c r="Q213">
        <v>15930000</v>
      </c>
      <c r="R213">
        <v>15584000</v>
      </c>
      <c r="S213" t="s">
        <v>9</v>
      </c>
    </row>
    <row r="214" spans="1:19" x14ac:dyDescent="0.35">
      <c r="A214" t="s">
        <v>383</v>
      </c>
      <c r="B214" t="s">
        <v>36</v>
      </c>
      <c r="C214" t="s">
        <v>37</v>
      </c>
      <c r="D214" t="s">
        <v>38</v>
      </c>
      <c r="E214" t="s">
        <v>384</v>
      </c>
      <c r="F214" t="str">
        <f>TEXT(Data[[#This Row],[Applied Date]],"mmmm")</f>
        <v>March</v>
      </c>
      <c r="G214" t="s">
        <v>33</v>
      </c>
      <c r="H214" t="s">
        <v>33</v>
      </c>
      <c r="I214" t="s">
        <v>33</v>
      </c>
      <c r="J214" t="s">
        <v>40</v>
      </c>
      <c r="K214" t="s">
        <v>40</v>
      </c>
      <c r="L214">
        <v>13</v>
      </c>
      <c r="M214" t="s">
        <v>25</v>
      </c>
      <c r="N214" t="s">
        <v>26</v>
      </c>
      <c r="O214">
        <v>38</v>
      </c>
      <c r="P214">
        <v>0</v>
      </c>
      <c r="Q214">
        <v>4866000</v>
      </c>
      <c r="R214">
        <v>4679000</v>
      </c>
      <c r="S214" t="s">
        <v>9</v>
      </c>
    </row>
    <row r="215" spans="1:19" x14ac:dyDescent="0.35">
      <c r="A215" t="s">
        <v>385</v>
      </c>
      <c r="B215" t="s">
        <v>66</v>
      </c>
      <c r="C215" t="s">
        <v>67</v>
      </c>
      <c r="D215" t="s">
        <v>38</v>
      </c>
      <c r="E215" t="s">
        <v>283</v>
      </c>
      <c r="F215" t="str">
        <f>TEXT(Data[[#This Row],[Applied Date]],"mmmm")</f>
        <v>March</v>
      </c>
      <c r="G215" t="s">
        <v>33</v>
      </c>
      <c r="H215" t="s">
        <v>33</v>
      </c>
      <c r="I215" t="s">
        <v>33</v>
      </c>
      <c r="J215" t="s">
        <v>40</v>
      </c>
      <c r="K215" t="s">
        <v>40</v>
      </c>
      <c r="L215">
        <v>25</v>
      </c>
      <c r="M215" t="s">
        <v>63</v>
      </c>
      <c r="N215" t="s">
        <v>26</v>
      </c>
      <c r="O215">
        <v>37</v>
      </c>
      <c r="P215">
        <v>1</v>
      </c>
      <c r="Q215">
        <v>5968000</v>
      </c>
      <c r="R215">
        <v>5889000</v>
      </c>
      <c r="S215" t="s">
        <v>9</v>
      </c>
    </row>
    <row r="216" spans="1:19" x14ac:dyDescent="0.35">
      <c r="A216" t="s">
        <v>386</v>
      </c>
      <c r="B216" t="s">
        <v>19</v>
      </c>
      <c r="C216" t="s">
        <v>20</v>
      </c>
      <c r="D216" t="s">
        <v>46</v>
      </c>
      <c r="E216" t="s">
        <v>255</v>
      </c>
      <c r="F216" t="str">
        <f>TEXT(Data[[#This Row],[Applied Date]],"mmmm")</f>
        <v>March</v>
      </c>
      <c r="G216" t="s">
        <v>33</v>
      </c>
      <c r="H216" t="s">
        <v>33</v>
      </c>
      <c r="I216" t="s">
        <v>33</v>
      </c>
      <c r="J216" t="s">
        <v>40</v>
      </c>
      <c r="K216" t="s">
        <v>40</v>
      </c>
      <c r="L216">
        <v>17</v>
      </c>
      <c r="M216" t="s">
        <v>34</v>
      </c>
      <c r="N216" t="s">
        <v>42</v>
      </c>
      <c r="O216">
        <v>30</v>
      </c>
      <c r="P216">
        <v>10</v>
      </c>
      <c r="Q216">
        <v>17242000</v>
      </c>
      <c r="R216">
        <v>16714000</v>
      </c>
      <c r="S216" t="s">
        <v>9</v>
      </c>
    </row>
    <row r="217" spans="1:19" x14ac:dyDescent="0.35">
      <c r="A217" t="s">
        <v>387</v>
      </c>
      <c r="B217" t="s">
        <v>72</v>
      </c>
      <c r="C217" t="s">
        <v>37</v>
      </c>
      <c r="D217" t="s">
        <v>21</v>
      </c>
      <c r="E217" t="s">
        <v>388</v>
      </c>
      <c r="F217" t="str">
        <f>TEXT(Data[[#This Row],[Applied Date]],"mmmm")</f>
        <v>March</v>
      </c>
      <c r="G217" t="s">
        <v>33</v>
      </c>
      <c r="H217" t="s">
        <v>23</v>
      </c>
      <c r="I217" t="s">
        <v>24</v>
      </c>
      <c r="J217" t="s">
        <v>24</v>
      </c>
      <c r="K217" t="s">
        <v>24</v>
      </c>
      <c r="M217" t="s">
        <v>34</v>
      </c>
      <c r="N217" t="s">
        <v>26</v>
      </c>
      <c r="O217">
        <v>36</v>
      </c>
      <c r="P217">
        <v>4</v>
      </c>
      <c r="Q217">
        <v>9595000</v>
      </c>
      <c r="S217" t="s">
        <v>27</v>
      </c>
    </row>
    <row r="218" spans="1:19" x14ac:dyDescent="0.35">
      <c r="A218" t="s">
        <v>389</v>
      </c>
      <c r="B218" t="s">
        <v>19</v>
      </c>
      <c r="C218" t="s">
        <v>20</v>
      </c>
      <c r="D218" t="s">
        <v>46</v>
      </c>
      <c r="E218" t="s">
        <v>129</v>
      </c>
      <c r="F218" t="str">
        <f>TEXT(Data[[#This Row],[Applied Date]],"mmmm")</f>
        <v>May</v>
      </c>
      <c r="G218" t="s">
        <v>33</v>
      </c>
      <c r="H218" t="s">
        <v>33</v>
      </c>
      <c r="I218" t="s">
        <v>33</v>
      </c>
      <c r="J218" t="s">
        <v>40</v>
      </c>
      <c r="K218" t="s">
        <v>40</v>
      </c>
      <c r="L218">
        <v>15</v>
      </c>
      <c r="M218" t="s">
        <v>63</v>
      </c>
      <c r="N218" t="s">
        <v>42</v>
      </c>
      <c r="O218">
        <v>27</v>
      </c>
      <c r="P218">
        <v>3</v>
      </c>
      <c r="Q218">
        <v>8577000</v>
      </c>
      <c r="R218">
        <v>8296000</v>
      </c>
      <c r="S218" t="s">
        <v>9</v>
      </c>
    </row>
    <row r="219" spans="1:19" x14ac:dyDescent="0.35">
      <c r="A219" t="s">
        <v>390</v>
      </c>
      <c r="B219" t="s">
        <v>19</v>
      </c>
      <c r="C219" t="s">
        <v>20</v>
      </c>
      <c r="D219" t="s">
        <v>21</v>
      </c>
      <c r="E219" t="s">
        <v>391</v>
      </c>
      <c r="F219" t="str">
        <f>TEXT(Data[[#This Row],[Applied Date]],"mmmm")</f>
        <v>March</v>
      </c>
      <c r="G219" t="s">
        <v>23</v>
      </c>
      <c r="H219" t="s">
        <v>24</v>
      </c>
      <c r="I219" t="s">
        <v>24</v>
      </c>
      <c r="J219" t="s">
        <v>24</v>
      </c>
      <c r="K219" t="s">
        <v>24</v>
      </c>
      <c r="M219" t="s">
        <v>34</v>
      </c>
      <c r="N219" t="s">
        <v>42</v>
      </c>
      <c r="O219">
        <v>38</v>
      </c>
      <c r="P219">
        <v>0</v>
      </c>
      <c r="Q219">
        <v>4623000</v>
      </c>
      <c r="S219" t="s">
        <v>27</v>
      </c>
    </row>
    <row r="220" spans="1:19" x14ac:dyDescent="0.35">
      <c r="A220" t="s">
        <v>392</v>
      </c>
      <c r="B220" t="s">
        <v>72</v>
      </c>
      <c r="C220" t="s">
        <v>37</v>
      </c>
      <c r="D220" t="s">
        <v>79</v>
      </c>
      <c r="E220" t="s">
        <v>393</v>
      </c>
      <c r="F220" t="str">
        <f>TEXT(Data[[#This Row],[Applied Date]],"mmmm")</f>
        <v>March</v>
      </c>
      <c r="G220" t="s">
        <v>33</v>
      </c>
      <c r="H220" t="s">
        <v>33</v>
      </c>
      <c r="I220" t="s">
        <v>33</v>
      </c>
      <c r="J220" t="s">
        <v>40</v>
      </c>
      <c r="K220" t="s">
        <v>40</v>
      </c>
      <c r="L220">
        <v>15</v>
      </c>
      <c r="M220" t="s">
        <v>63</v>
      </c>
      <c r="N220" t="s">
        <v>26</v>
      </c>
      <c r="O220">
        <v>24</v>
      </c>
      <c r="P220">
        <v>9</v>
      </c>
      <c r="Q220">
        <v>15815000</v>
      </c>
      <c r="R220">
        <v>15546000</v>
      </c>
      <c r="S220" t="s">
        <v>9</v>
      </c>
    </row>
    <row r="221" spans="1:19" x14ac:dyDescent="0.35">
      <c r="A221" t="s">
        <v>394</v>
      </c>
      <c r="B221" t="s">
        <v>29</v>
      </c>
      <c r="C221" t="s">
        <v>30</v>
      </c>
      <c r="D221" t="s">
        <v>51</v>
      </c>
      <c r="E221" t="s">
        <v>59</v>
      </c>
      <c r="F221" t="str">
        <f>TEXT(Data[[#This Row],[Applied Date]],"mmmm")</f>
        <v>June</v>
      </c>
      <c r="G221" t="s">
        <v>33</v>
      </c>
      <c r="H221" t="s">
        <v>33</v>
      </c>
      <c r="I221" t="s">
        <v>33</v>
      </c>
      <c r="J221" t="s">
        <v>40</v>
      </c>
      <c r="K221" t="s">
        <v>40</v>
      </c>
      <c r="L221">
        <v>14</v>
      </c>
      <c r="M221" t="s">
        <v>57</v>
      </c>
      <c r="N221" t="s">
        <v>26</v>
      </c>
      <c r="O221">
        <v>21</v>
      </c>
      <c r="P221">
        <v>1</v>
      </c>
      <c r="Q221">
        <v>6010000</v>
      </c>
      <c r="R221">
        <v>5752000</v>
      </c>
      <c r="S221" t="s">
        <v>9</v>
      </c>
    </row>
    <row r="222" spans="1:19" x14ac:dyDescent="0.35">
      <c r="A222" t="s">
        <v>395</v>
      </c>
      <c r="B222" t="s">
        <v>19</v>
      </c>
      <c r="C222" t="s">
        <v>20</v>
      </c>
      <c r="D222" t="s">
        <v>38</v>
      </c>
      <c r="E222" t="s">
        <v>99</v>
      </c>
      <c r="F222" t="str">
        <f>TEXT(Data[[#This Row],[Applied Date]],"mmmm")</f>
        <v>January</v>
      </c>
      <c r="G222" t="s">
        <v>23</v>
      </c>
      <c r="H222" t="s">
        <v>24</v>
      </c>
      <c r="I222" t="s">
        <v>24</v>
      </c>
      <c r="J222" t="s">
        <v>24</v>
      </c>
      <c r="K222" t="s">
        <v>24</v>
      </c>
      <c r="M222" t="s">
        <v>41</v>
      </c>
      <c r="N222" t="s">
        <v>26</v>
      </c>
      <c r="O222">
        <v>38</v>
      </c>
      <c r="P222">
        <v>3</v>
      </c>
      <c r="Q222">
        <v>8448000</v>
      </c>
      <c r="S222" t="s">
        <v>27</v>
      </c>
    </row>
    <row r="223" spans="1:19" x14ac:dyDescent="0.35">
      <c r="A223" t="s">
        <v>396</v>
      </c>
      <c r="B223" t="s">
        <v>19</v>
      </c>
      <c r="C223" t="s">
        <v>20</v>
      </c>
      <c r="D223" t="s">
        <v>79</v>
      </c>
      <c r="E223" t="s">
        <v>237</v>
      </c>
      <c r="F223" t="str">
        <f>TEXT(Data[[#This Row],[Applied Date]],"mmmm")</f>
        <v>February</v>
      </c>
      <c r="G223" t="s">
        <v>23</v>
      </c>
      <c r="H223" t="s">
        <v>24</v>
      </c>
      <c r="I223" t="s">
        <v>24</v>
      </c>
      <c r="J223" t="s">
        <v>24</v>
      </c>
      <c r="K223" t="s">
        <v>24</v>
      </c>
      <c r="M223" t="s">
        <v>25</v>
      </c>
      <c r="N223" t="s">
        <v>42</v>
      </c>
      <c r="O223">
        <v>31</v>
      </c>
      <c r="P223">
        <v>3</v>
      </c>
      <c r="Q223">
        <v>8855000</v>
      </c>
      <c r="S223" t="s">
        <v>27</v>
      </c>
    </row>
    <row r="224" spans="1:19" x14ac:dyDescent="0.35">
      <c r="A224" t="s">
        <v>397</v>
      </c>
      <c r="B224" t="s">
        <v>49</v>
      </c>
      <c r="C224" t="s">
        <v>50</v>
      </c>
      <c r="D224" t="s">
        <v>31</v>
      </c>
      <c r="E224" t="s">
        <v>398</v>
      </c>
      <c r="F224" t="str">
        <f>TEXT(Data[[#This Row],[Applied Date]],"mmmm")</f>
        <v>May</v>
      </c>
      <c r="G224" t="s">
        <v>33</v>
      </c>
      <c r="H224" t="s">
        <v>23</v>
      </c>
      <c r="I224" t="s">
        <v>24</v>
      </c>
      <c r="J224" t="s">
        <v>24</v>
      </c>
      <c r="K224" t="s">
        <v>24</v>
      </c>
      <c r="M224" t="s">
        <v>41</v>
      </c>
      <c r="N224" t="s">
        <v>42</v>
      </c>
      <c r="O224">
        <v>31</v>
      </c>
      <c r="P224">
        <v>10</v>
      </c>
      <c r="Q224">
        <v>17597000</v>
      </c>
      <c r="S224" t="s">
        <v>27</v>
      </c>
    </row>
    <row r="225" spans="1:19" x14ac:dyDescent="0.35">
      <c r="A225" t="s">
        <v>399</v>
      </c>
      <c r="B225" t="s">
        <v>44</v>
      </c>
      <c r="C225" t="s">
        <v>45</v>
      </c>
      <c r="D225" t="s">
        <v>51</v>
      </c>
      <c r="E225" t="s">
        <v>400</v>
      </c>
      <c r="F225" t="str">
        <f>TEXT(Data[[#This Row],[Applied Date]],"mmmm")</f>
        <v>January</v>
      </c>
      <c r="G225" t="s">
        <v>33</v>
      </c>
      <c r="H225" t="s">
        <v>33</v>
      </c>
      <c r="I225" t="s">
        <v>33</v>
      </c>
      <c r="J225" t="s">
        <v>40</v>
      </c>
      <c r="K225" t="s">
        <v>40</v>
      </c>
      <c r="L225">
        <v>30</v>
      </c>
      <c r="M225" t="s">
        <v>63</v>
      </c>
      <c r="N225" t="s">
        <v>26</v>
      </c>
      <c r="O225">
        <v>24</v>
      </c>
      <c r="P225">
        <v>9</v>
      </c>
      <c r="Q225">
        <v>15457000</v>
      </c>
      <c r="R225">
        <v>14832000</v>
      </c>
      <c r="S225" t="s">
        <v>9</v>
      </c>
    </row>
    <row r="226" spans="1:19" x14ac:dyDescent="0.35">
      <c r="A226" t="s">
        <v>401</v>
      </c>
      <c r="B226" t="s">
        <v>49</v>
      </c>
      <c r="C226" t="s">
        <v>50</v>
      </c>
      <c r="D226" t="s">
        <v>79</v>
      </c>
      <c r="E226" t="s">
        <v>77</v>
      </c>
      <c r="F226" t="str">
        <f>TEXT(Data[[#This Row],[Applied Date]],"mmmm")</f>
        <v>May</v>
      </c>
      <c r="G226" t="s">
        <v>33</v>
      </c>
      <c r="H226" t="s">
        <v>23</v>
      </c>
      <c r="I226" t="s">
        <v>24</v>
      </c>
      <c r="J226" t="s">
        <v>24</v>
      </c>
      <c r="K226" t="s">
        <v>24</v>
      </c>
      <c r="M226" t="s">
        <v>34</v>
      </c>
      <c r="N226" t="s">
        <v>42</v>
      </c>
      <c r="O226">
        <v>28</v>
      </c>
      <c r="P226">
        <v>3</v>
      </c>
      <c r="Q226">
        <v>8987000</v>
      </c>
      <c r="S226" t="s">
        <v>27</v>
      </c>
    </row>
    <row r="227" spans="1:19" x14ac:dyDescent="0.35">
      <c r="A227" t="s">
        <v>402</v>
      </c>
      <c r="B227" t="s">
        <v>29</v>
      </c>
      <c r="C227" t="s">
        <v>30</v>
      </c>
      <c r="D227" t="s">
        <v>31</v>
      </c>
      <c r="E227" t="s">
        <v>84</v>
      </c>
      <c r="F227" t="str">
        <f>TEXT(Data[[#This Row],[Applied Date]],"mmmm")</f>
        <v>May</v>
      </c>
      <c r="G227" t="s">
        <v>33</v>
      </c>
      <c r="H227" t="s">
        <v>33</v>
      </c>
      <c r="I227" t="s">
        <v>33</v>
      </c>
      <c r="J227" t="s">
        <v>40</v>
      </c>
      <c r="K227" t="s">
        <v>40</v>
      </c>
      <c r="L227">
        <v>25</v>
      </c>
      <c r="M227" t="s">
        <v>34</v>
      </c>
      <c r="N227" t="s">
        <v>26</v>
      </c>
      <c r="O227">
        <v>27</v>
      </c>
      <c r="P227">
        <v>9</v>
      </c>
      <c r="Q227">
        <v>16445000</v>
      </c>
      <c r="R227">
        <v>15720000</v>
      </c>
      <c r="S227" t="s">
        <v>9</v>
      </c>
    </row>
    <row r="228" spans="1:19" x14ac:dyDescent="0.35">
      <c r="A228" t="s">
        <v>403</v>
      </c>
      <c r="B228" t="s">
        <v>44</v>
      </c>
      <c r="C228" t="s">
        <v>45</v>
      </c>
      <c r="D228" t="s">
        <v>38</v>
      </c>
      <c r="E228" t="s">
        <v>144</v>
      </c>
      <c r="F228" t="str">
        <f>TEXT(Data[[#This Row],[Applied Date]],"mmmm")</f>
        <v>May</v>
      </c>
      <c r="G228" t="s">
        <v>33</v>
      </c>
      <c r="H228" t="s">
        <v>33</v>
      </c>
      <c r="I228" t="s">
        <v>33</v>
      </c>
      <c r="J228" t="s">
        <v>40</v>
      </c>
      <c r="K228" t="s">
        <v>40</v>
      </c>
      <c r="L228">
        <v>17</v>
      </c>
      <c r="M228" t="s">
        <v>41</v>
      </c>
      <c r="N228" t="s">
        <v>26</v>
      </c>
      <c r="O228">
        <v>39</v>
      </c>
      <c r="P228">
        <v>3</v>
      </c>
      <c r="Q228">
        <v>9121000</v>
      </c>
      <c r="R228">
        <v>9109000</v>
      </c>
      <c r="S228" t="s">
        <v>9</v>
      </c>
    </row>
    <row r="229" spans="1:19" x14ac:dyDescent="0.35">
      <c r="A229" t="s">
        <v>404</v>
      </c>
      <c r="B229" t="s">
        <v>29</v>
      </c>
      <c r="C229" t="s">
        <v>30</v>
      </c>
      <c r="D229" t="s">
        <v>79</v>
      </c>
      <c r="E229" t="s">
        <v>313</v>
      </c>
      <c r="F229" t="str">
        <f>TEXT(Data[[#This Row],[Applied Date]],"mmmm")</f>
        <v>June</v>
      </c>
      <c r="G229" t="s">
        <v>33</v>
      </c>
      <c r="H229" t="s">
        <v>33</v>
      </c>
      <c r="I229" t="s">
        <v>23</v>
      </c>
      <c r="J229" t="s">
        <v>24</v>
      </c>
      <c r="K229" t="s">
        <v>24</v>
      </c>
      <c r="M229" t="s">
        <v>34</v>
      </c>
      <c r="N229" t="s">
        <v>42</v>
      </c>
      <c r="O229">
        <v>27</v>
      </c>
      <c r="P229">
        <v>6</v>
      </c>
      <c r="Q229">
        <v>12806000</v>
      </c>
      <c r="S229" t="s">
        <v>27</v>
      </c>
    </row>
    <row r="230" spans="1:19" x14ac:dyDescent="0.35">
      <c r="A230" t="s">
        <v>405</v>
      </c>
      <c r="B230" t="s">
        <v>49</v>
      </c>
      <c r="C230" t="s">
        <v>50</v>
      </c>
      <c r="D230" t="s">
        <v>21</v>
      </c>
      <c r="E230" t="s">
        <v>187</v>
      </c>
      <c r="F230" t="str">
        <f>TEXT(Data[[#This Row],[Applied Date]],"mmmm")</f>
        <v>January</v>
      </c>
      <c r="G230" t="s">
        <v>33</v>
      </c>
      <c r="H230" t="s">
        <v>33</v>
      </c>
      <c r="I230" t="s">
        <v>33</v>
      </c>
      <c r="J230" t="s">
        <v>40</v>
      </c>
      <c r="K230" t="s">
        <v>40</v>
      </c>
      <c r="L230">
        <v>18</v>
      </c>
      <c r="M230" t="s">
        <v>57</v>
      </c>
      <c r="N230" t="s">
        <v>26</v>
      </c>
      <c r="O230">
        <v>40</v>
      </c>
      <c r="P230">
        <v>9</v>
      </c>
      <c r="Q230">
        <v>16453000</v>
      </c>
      <c r="R230">
        <v>16202000</v>
      </c>
      <c r="S230" t="s">
        <v>9</v>
      </c>
    </row>
    <row r="231" spans="1:19" x14ac:dyDescent="0.35">
      <c r="A231" t="s">
        <v>406</v>
      </c>
      <c r="B231" t="s">
        <v>19</v>
      </c>
      <c r="C231" t="s">
        <v>20</v>
      </c>
      <c r="D231" t="s">
        <v>51</v>
      </c>
      <c r="E231" t="s">
        <v>111</v>
      </c>
      <c r="F231" t="str">
        <f>TEXT(Data[[#This Row],[Applied Date]],"mmmm")</f>
        <v>April</v>
      </c>
      <c r="G231" t="s">
        <v>33</v>
      </c>
      <c r="H231" t="s">
        <v>33</v>
      </c>
      <c r="I231" t="s">
        <v>33</v>
      </c>
      <c r="J231" t="s">
        <v>40</v>
      </c>
      <c r="K231" t="s">
        <v>40</v>
      </c>
      <c r="L231">
        <v>30</v>
      </c>
      <c r="M231" t="s">
        <v>25</v>
      </c>
      <c r="N231" t="s">
        <v>26</v>
      </c>
      <c r="O231">
        <v>36</v>
      </c>
      <c r="P231">
        <v>10</v>
      </c>
      <c r="Q231">
        <v>16817000</v>
      </c>
      <c r="R231">
        <v>16092000</v>
      </c>
      <c r="S231" t="s">
        <v>9</v>
      </c>
    </row>
    <row r="232" spans="1:19" x14ac:dyDescent="0.35">
      <c r="A232" t="s">
        <v>407</v>
      </c>
      <c r="B232" t="s">
        <v>82</v>
      </c>
      <c r="C232" t="s">
        <v>83</v>
      </c>
      <c r="D232" t="s">
        <v>46</v>
      </c>
      <c r="E232" t="s">
        <v>105</v>
      </c>
      <c r="F232" t="str">
        <f>TEXT(Data[[#This Row],[Applied Date]],"mmmm")</f>
        <v>February</v>
      </c>
      <c r="G232" t="s">
        <v>33</v>
      </c>
      <c r="H232" t="s">
        <v>33</v>
      </c>
      <c r="I232" t="s">
        <v>23</v>
      </c>
      <c r="J232" t="s">
        <v>24</v>
      </c>
      <c r="K232" t="s">
        <v>24</v>
      </c>
      <c r="M232" t="s">
        <v>41</v>
      </c>
      <c r="N232" t="s">
        <v>26</v>
      </c>
      <c r="O232">
        <v>33</v>
      </c>
      <c r="P232">
        <v>5</v>
      </c>
      <c r="Q232">
        <v>10892000</v>
      </c>
      <c r="S232" t="s">
        <v>27</v>
      </c>
    </row>
    <row r="233" spans="1:19" x14ac:dyDescent="0.35">
      <c r="A233" t="s">
        <v>408</v>
      </c>
      <c r="B233" t="s">
        <v>29</v>
      </c>
      <c r="C233" t="s">
        <v>30</v>
      </c>
      <c r="D233" t="s">
        <v>79</v>
      </c>
      <c r="E233" t="s">
        <v>409</v>
      </c>
      <c r="F233" t="str">
        <f>TEXT(Data[[#This Row],[Applied Date]],"mmmm")</f>
        <v>June</v>
      </c>
      <c r="G233" t="s">
        <v>33</v>
      </c>
      <c r="H233" t="s">
        <v>33</v>
      </c>
      <c r="I233" t="s">
        <v>33</v>
      </c>
      <c r="J233" t="s">
        <v>40</v>
      </c>
      <c r="K233" t="s">
        <v>40</v>
      </c>
      <c r="L233">
        <v>14</v>
      </c>
      <c r="M233" t="s">
        <v>34</v>
      </c>
      <c r="N233" t="s">
        <v>42</v>
      </c>
      <c r="O233">
        <v>29</v>
      </c>
      <c r="P233">
        <v>0</v>
      </c>
      <c r="Q233">
        <v>4867000</v>
      </c>
      <c r="R233">
        <v>4862000</v>
      </c>
      <c r="S233" t="s">
        <v>9</v>
      </c>
    </row>
    <row r="234" spans="1:19" x14ac:dyDescent="0.35">
      <c r="A234" t="s">
        <v>410</v>
      </c>
      <c r="B234" t="s">
        <v>49</v>
      </c>
      <c r="C234" t="s">
        <v>50</v>
      </c>
      <c r="D234" t="s">
        <v>38</v>
      </c>
      <c r="E234" t="s">
        <v>346</v>
      </c>
      <c r="F234" t="str">
        <f>TEXT(Data[[#This Row],[Applied Date]],"mmmm")</f>
        <v>April</v>
      </c>
      <c r="G234" t="s">
        <v>33</v>
      </c>
      <c r="H234" t="s">
        <v>33</v>
      </c>
      <c r="I234" t="s">
        <v>33</v>
      </c>
      <c r="J234" t="s">
        <v>40</v>
      </c>
      <c r="K234" t="s">
        <v>40</v>
      </c>
      <c r="L234">
        <v>15</v>
      </c>
      <c r="M234" t="s">
        <v>25</v>
      </c>
      <c r="N234" t="s">
        <v>42</v>
      </c>
      <c r="O234">
        <v>40</v>
      </c>
      <c r="P234">
        <v>7</v>
      </c>
      <c r="Q234">
        <v>13343000</v>
      </c>
      <c r="R234">
        <v>12757000</v>
      </c>
      <c r="S234" t="s">
        <v>9</v>
      </c>
    </row>
    <row r="235" spans="1:19" x14ac:dyDescent="0.35">
      <c r="A235" t="s">
        <v>411</v>
      </c>
      <c r="B235" t="s">
        <v>82</v>
      </c>
      <c r="C235" t="s">
        <v>83</v>
      </c>
      <c r="D235" t="s">
        <v>21</v>
      </c>
      <c r="E235" t="s">
        <v>247</v>
      </c>
      <c r="F235" t="str">
        <f>TEXT(Data[[#This Row],[Applied Date]],"mmmm")</f>
        <v>March</v>
      </c>
      <c r="G235" t="s">
        <v>33</v>
      </c>
      <c r="H235" t="s">
        <v>33</v>
      </c>
      <c r="I235" t="s">
        <v>33</v>
      </c>
      <c r="J235" t="s">
        <v>40</v>
      </c>
      <c r="K235" t="s">
        <v>40</v>
      </c>
      <c r="L235">
        <v>29</v>
      </c>
      <c r="M235" t="s">
        <v>63</v>
      </c>
      <c r="N235" t="s">
        <v>26</v>
      </c>
      <c r="O235">
        <v>25</v>
      </c>
      <c r="P235">
        <v>10</v>
      </c>
      <c r="Q235">
        <v>16527000</v>
      </c>
      <c r="R235">
        <v>16079000</v>
      </c>
      <c r="S235" t="s">
        <v>9</v>
      </c>
    </row>
    <row r="236" spans="1:19" x14ac:dyDescent="0.35">
      <c r="A236" t="s">
        <v>412</v>
      </c>
      <c r="B236" t="s">
        <v>66</v>
      </c>
      <c r="C236" t="s">
        <v>67</v>
      </c>
      <c r="D236" t="s">
        <v>79</v>
      </c>
      <c r="E236" t="s">
        <v>413</v>
      </c>
      <c r="F236" t="str">
        <f>TEXT(Data[[#This Row],[Applied Date]],"mmmm")</f>
        <v>January</v>
      </c>
      <c r="G236" t="s">
        <v>23</v>
      </c>
      <c r="H236" t="s">
        <v>24</v>
      </c>
      <c r="I236" t="s">
        <v>24</v>
      </c>
      <c r="J236" t="s">
        <v>24</v>
      </c>
      <c r="K236" t="s">
        <v>24</v>
      </c>
      <c r="M236" t="s">
        <v>63</v>
      </c>
      <c r="N236" t="s">
        <v>26</v>
      </c>
      <c r="O236">
        <v>28</v>
      </c>
      <c r="P236">
        <v>2</v>
      </c>
      <c r="Q236">
        <v>7205000</v>
      </c>
      <c r="S236" t="s">
        <v>27</v>
      </c>
    </row>
    <row r="237" spans="1:19" x14ac:dyDescent="0.35">
      <c r="A237" t="s">
        <v>414</v>
      </c>
      <c r="B237" t="s">
        <v>66</v>
      </c>
      <c r="C237" t="s">
        <v>67</v>
      </c>
      <c r="D237" t="s">
        <v>79</v>
      </c>
      <c r="E237" t="s">
        <v>391</v>
      </c>
      <c r="F237" t="str">
        <f>TEXT(Data[[#This Row],[Applied Date]],"mmmm")</f>
        <v>March</v>
      </c>
      <c r="G237" t="s">
        <v>33</v>
      </c>
      <c r="H237" t="s">
        <v>23</v>
      </c>
      <c r="I237" t="s">
        <v>24</v>
      </c>
      <c r="J237" t="s">
        <v>24</v>
      </c>
      <c r="K237" t="s">
        <v>24</v>
      </c>
      <c r="M237" t="s">
        <v>34</v>
      </c>
      <c r="N237" t="s">
        <v>26</v>
      </c>
      <c r="O237">
        <v>33</v>
      </c>
      <c r="P237">
        <v>0</v>
      </c>
      <c r="Q237">
        <v>4673000</v>
      </c>
      <c r="S237" t="s">
        <v>27</v>
      </c>
    </row>
    <row r="238" spans="1:19" x14ac:dyDescent="0.35">
      <c r="A238" t="s">
        <v>415</v>
      </c>
      <c r="B238" t="s">
        <v>66</v>
      </c>
      <c r="C238" t="s">
        <v>67</v>
      </c>
      <c r="D238" t="s">
        <v>51</v>
      </c>
      <c r="E238" t="s">
        <v>292</v>
      </c>
      <c r="F238" t="str">
        <f>TEXT(Data[[#This Row],[Applied Date]],"mmmm")</f>
        <v>March</v>
      </c>
      <c r="G238" t="s">
        <v>23</v>
      </c>
      <c r="H238" t="s">
        <v>24</v>
      </c>
      <c r="I238" t="s">
        <v>24</v>
      </c>
      <c r="J238" t="s">
        <v>24</v>
      </c>
      <c r="K238" t="s">
        <v>24</v>
      </c>
      <c r="M238" t="s">
        <v>63</v>
      </c>
      <c r="N238" t="s">
        <v>26</v>
      </c>
      <c r="O238">
        <v>29</v>
      </c>
      <c r="P238">
        <v>5</v>
      </c>
      <c r="Q238">
        <v>11067000</v>
      </c>
      <c r="S238" t="s">
        <v>27</v>
      </c>
    </row>
    <row r="239" spans="1:19" x14ac:dyDescent="0.35">
      <c r="A239" t="s">
        <v>416</v>
      </c>
      <c r="B239" t="s">
        <v>29</v>
      </c>
      <c r="C239" t="s">
        <v>30</v>
      </c>
      <c r="D239" t="s">
        <v>21</v>
      </c>
      <c r="E239" t="s">
        <v>417</v>
      </c>
      <c r="F239" t="str">
        <f>TEXT(Data[[#This Row],[Applied Date]],"mmmm")</f>
        <v>June</v>
      </c>
      <c r="G239" t="s">
        <v>33</v>
      </c>
      <c r="H239" t="s">
        <v>33</v>
      </c>
      <c r="I239" t="s">
        <v>23</v>
      </c>
      <c r="J239" t="s">
        <v>24</v>
      </c>
      <c r="K239" t="s">
        <v>24</v>
      </c>
      <c r="M239" t="s">
        <v>57</v>
      </c>
      <c r="N239" t="s">
        <v>42</v>
      </c>
      <c r="O239">
        <v>28</v>
      </c>
      <c r="P239">
        <v>3</v>
      </c>
      <c r="Q239">
        <v>8495000</v>
      </c>
      <c r="S239" t="s">
        <v>27</v>
      </c>
    </row>
    <row r="240" spans="1:19" x14ac:dyDescent="0.35">
      <c r="A240" t="s">
        <v>418</v>
      </c>
      <c r="B240" t="s">
        <v>66</v>
      </c>
      <c r="C240" t="s">
        <v>67</v>
      </c>
      <c r="D240" t="s">
        <v>46</v>
      </c>
      <c r="E240" t="s">
        <v>398</v>
      </c>
      <c r="F240" t="str">
        <f>TEXT(Data[[#This Row],[Applied Date]],"mmmm")</f>
        <v>May</v>
      </c>
      <c r="G240" t="s">
        <v>33</v>
      </c>
      <c r="H240" t="s">
        <v>33</v>
      </c>
      <c r="I240" t="s">
        <v>33</v>
      </c>
      <c r="J240" t="s">
        <v>40</v>
      </c>
      <c r="K240" t="s">
        <v>40</v>
      </c>
      <c r="L240">
        <v>32</v>
      </c>
      <c r="M240" t="s">
        <v>57</v>
      </c>
      <c r="N240" t="s">
        <v>42</v>
      </c>
      <c r="O240">
        <v>27</v>
      </c>
      <c r="P240">
        <v>1</v>
      </c>
      <c r="Q240">
        <v>6724000</v>
      </c>
      <c r="R240">
        <v>6617000</v>
      </c>
      <c r="S240" t="s">
        <v>9</v>
      </c>
    </row>
    <row r="241" spans="1:19" x14ac:dyDescent="0.35">
      <c r="A241" t="s">
        <v>419</v>
      </c>
      <c r="B241" t="s">
        <v>29</v>
      </c>
      <c r="C241" t="s">
        <v>30</v>
      </c>
      <c r="D241" t="s">
        <v>21</v>
      </c>
      <c r="E241" t="s">
        <v>99</v>
      </c>
      <c r="F241" t="str">
        <f>TEXT(Data[[#This Row],[Applied Date]],"mmmm")</f>
        <v>January</v>
      </c>
      <c r="G241" t="s">
        <v>33</v>
      </c>
      <c r="H241" t="s">
        <v>23</v>
      </c>
      <c r="I241" t="s">
        <v>24</v>
      </c>
      <c r="J241" t="s">
        <v>24</v>
      </c>
      <c r="K241" t="s">
        <v>24</v>
      </c>
      <c r="M241" t="s">
        <v>41</v>
      </c>
      <c r="N241" t="s">
        <v>42</v>
      </c>
      <c r="O241">
        <v>22</v>
      </c>
      <c r="P241">
        <v>0</v>
      </c>
      <c r="Q241">
        <v>5112000</v>
      </c>
      <c r="S241" t="s">
        <v>27</v>
      </c>
    </row>
    <row r="242" spans="1:19" x14ac:dyDescent="0.35">
      <c r="A242" t="s">
        <v>420</v>
      </c>
      <c r="B242" t="s">
        <v>72</v>
      </c>
      <c r="C242" t="s">
        <v>37</v>
      </c>
      <c r="D242" t="s">
        <v>79</v>
      </c>
      <c r="E242" t="s">
        <v>421</v>
      </c>
      <c r="F242" t="str">
        <f>TEXT(Data[[#This Row],[Applied Date]],"mmmm")</f>
        <v>March</v>
      </c>
      <c r="G242" t="s">
        <v>33</v>
      </c>
      <c r="H242" t="s">
        <v>33</v>
      </c>
      <c r="I242" t="s">
        <v>23</v>
      </c>
      <c r="J242" t="s">
        <v>24</v>
      </c>
      <c r="K242" t="s">
        <v>24</v>
      </c>
      <c r="M242" t="s">
        <v>57</v>
      </c>
      <c r="N242" t="s">
        <v>26</v>
      </c>
      <c r="O242">
        <v>29</v>
      </c>
      <c r="P242">
        <v>5</v>
      </c>
      <c r="Q242">
        <v>10723000</v>
      </c>
      <c r="S242" t="s">
        <v>27</v>
      </c>
    </row>
    <row r="243" spans="1:19" x14ac:dyDescent="0.35">
      <c r="A243" t="s">
        <v>422</v>
      </c>
      <c r="B243" t="s">
        <v>49</v>
      </c>
      <c r="C243" t="s">
        <v>50</v>
      </c>
      <c r="D243" t="s">
        <v>51</v>
      </c>
      <c r="E243" t="s">
        <v>423</v>
      </c>
      <c r="F243" t="str">
        <f>TEXT(Data[[#This Row],[Applied Date]],"mmmm")</f>
        <v>May</v>
      </c>
      <c r="G243" t="s">
        <v>33</v>
      </c>
      <c r="H243" t="s">
        <v>33</v>
      </c>
      <c r="I243" t="s">
        <v>33</v>
      </c>
      <c r="J243" t="s">
        <v>40</v>
      </c>
      <c r="K243" t="s">
        <v>40</v>
      </c>
      <c r="L243">
        <v>29</v>
      </c>
      <c r="M243" t="s">
        <v>25</v>
      </c>
      <c r="N243" t="s">
        <v>26</v>
      </c>
      <c r="O243">
        <v>29</v>
      </c>
      <c r="P243">
        <v>3</v>
      </c>
      <c r="Q243">
        <v>9289000</v>
      </c>
      <c r="R243">
        <v>8889000</v>
      </c>
      <c r="S243" t="s">
        <v>9</v>
      </c>
    </row>
    <row r="244" spans="1:19" x14ac:dyDescent="0.35">
      <c r="A244" t="s">
        <v>424</v>
      </c>
      <c r="B244" t="s">
        <v>19</v>
      </c>
      <c r="C244" t="s">
        <v>20</v>
      </c>
      <c r="D244" t="s">
        <v>46</v>
      </c>
      <c r="E244" t="s">
        <v>259</v>
      </c>
      <c r="F244" t="str">
        <f>TEXT(Data[[#This Row],[Applied Date]],"mmmm")</f>
        <v>January</v>
      </c>
      <c r="G244" t="s">
        <v>23</v>
      </c>
      <c r="H244" t="s">
        <v>24</v>
      </c>
      <c r="I244" t="s">
        <v>24</v>
      </c>
      <c r="J244" t="s">
        <v>24</v>
      </c>
      <c r="K244" t="s">
        <v>24</v>
      </c>
      <c r="M244" t="s">
        <v>41</v>
      </c>
      <c r="N244" t="s">
        <v>42</v>
      </c>
      <c r="O244">
        <v>38</v>
      </c>
      <c r="P244">
        <v>3</v>
      </c>
      <c r="Q244">
        <v>9300000</v>
      </c>
      <c r="S244" t="s">
        <v>27</v>
      </c>
    </row>
    <row r="245" spans="1:19" x14ac:dyDescent="0.35">
      <c r="A245" t="s">
        <v>425</v>
      </c>
      <c r="B245" t="s">
        <v>29</v>
      </c>
      <c r="C245" t="s">
        <v>30</v>
      </c>
      <c r="D245" t="s">
        <v>51</v>
      </c>
      <c r="E245" t="s">
        <v>56</v>
      </c>
      <c r="F245" t="str">
        <f>TEXT(Data[[#This Row],[Applied Date]],"mmmm")</f>
        <v>February</v>
      </c>
      <c r="G245" t="s">
        <v>33</v>
      </c>
      <c r="H245" t="s">
        <v>33</v>
      </c>
      <c r="I245" t="s">
        <v>23</v>
      </c>
      <c r="J245" t="s">
        <v>24</v>
      </c>
      <c r="K245" t="s">
        <v>24</v>
      </c>
      <c r="M245" t="s">
        <v>34</v>
      </c>
      <c r="N245" t="s">
        <v>26</v>
      </c>
      <c r="O245">
        <v>29</v>
      </c>
      <c r="P245">
        <v>5</v>
      </c>
      <c r="Q245">
        <v>11600000</v>
      </c>
      <c r="S245" t="s">
        <v>27</v>
      </c>
    </row>
    <row r="246" spans="1:19" x14ac:dyDescent="0.35">
      <c r="A246" t="s">
        <v>426</v>
      </c>
      <c r="B246" t="s">
        <v>19</v>
      </c>
      <c r="C246" t="s">
        <v>20</v>
      </c>
      <c r="D246" t="s">
        <v>21</v>
      </c>
      <c r="E246" t="s">
        <v>326</v>
      </c>
      <c r="F246" t="str">
        <f>TEXT(Data[[#This Row],[Applied Date]],"mmmm")</f>
        <v>June</v>
      </c>
      <c r="G246" t="s">
        <v>23</v>
      </c>
      <c r="H246" t="s">
        <v>24</v>
      </c>
      <c r="I246" t="s">
        <v>24</v>
      </c>
      <c r="J246" t="s">
        <v>24</v>
      </c>
      <c r="K246" t="s">
        <v>24</v>
      </c>
      <c r="M246" t="s">
        <v>25</v>
      </c>
      <c r="N246" t="s">
        <v>42</v>
      </c>
      <c r="O246">
        <v>22</v>
      </c>
      <c r="P246">
        <v>5</v>
      </c>
      <c r="Q246">
        <v>10619000</v>
      </c>
      <c r="S246" t="s">
        <v>27</v>
      </c>
    </row>
    <row r="247" spans="1:19" x14ac:dyDescent="0.35">
      <c r="A247" t="s">
        <v>427</v>
      </c>
      <c r="B247" t="s">
        <v>44</v>
      </c>
      <c r="C247" t="s">
        <v>45</v>
      </c>
      <c r="D247" t="s">
        <v>51</v>
      </c>
      <c r="E247" t="s">
        <v>185</v>
      </c>
      <c r="F247" t="str">
        <f>TEXT(Data[[#This Row],[Applied Date]],"mmmm")</f>
        <v>January</v>
      </c>
      <c r="G247" t="s">
        <v>33</v>
      </c>
      <c r="H247" t="s">
        <v>23</v>
      </c>
      <c r="I247" t="s">
        <v>24</v>
      </c>
      <c r="J247" t="s">
        <v>24</v>
      </c>
      <c r="K247" t="s">
        <v>24</v>
      </c>
      <c r="M247" t="s">
        <v>25</v>
      </c>
      <c r="N247" t="s">
        <v>26</v>
      </c>
      <c r="O247">
        <v>28</v>
      </c>
      <c r="P247">
        <v>10</v>
      </c>
      <c r="Q247">
        <v>17130000</v>
      </c>
      <c r="S247" t="s">
        <v>27</v>
      </c>
    </row>
    <row r="248" spans="1:19" x14ac:dyDescent="0.35">
      <c r="A248" t="s">
        <v>428</v>
      </c>
      <c r="B248" t="s">
        <v>19</v>
      </c>
      <c r="C248" t="s">
        <v>20</v>
      </c>
      <c r="D248" t="s">
        <v>31</v>
      </c>
      <c r="E248" t="s">
        <v>338</v>
      </c>
      <c r="F248" t="str">
        <f>TEXT(Data[[#This Row],[Applied Date]],"mmmm")</f>
        <v>March</v>
      </c>
      <c r="G248" t="s">
        <v>33</v>
      </c>
      <c r="H248" t="s">
        <v>33</v>
      </c>
      <c r="I248" t="s">
        <v>33</v>
      </c>
      <c r="J248" t="s">
        <v>40</v>
      </c>
      <c r="K248" t="s">
        <v>40</v>
      </c>
      <c r="L248">
        <v>29</v>
      </c>
      <c r="M248" t="s">
        <v>41</v>
      </c>
      <c r="N248" t="s">
        <v>42</v>
      </c>
      <c r="O248">
        <v>37</v>
      </c>
      <c r="P248">
        <v>9</v>
      </c>
      <c r="Q248">
        <v>16592000</v>
      </c>
      <c r="R248">
        <v>16400000</v>
      </c>
      <c r="S248" t="s">
        <v>9</v>
      </c>
    </row>
    <row r="249" spans="1:19" x14ac:dyDescent="0.35">
      <c r="A249" t="s">
        <v>429</v>
      </c>
      <c r="B249" t="s">
        <v>36</v>
      </c>
      <c r="C249" t="s">
        <v>37</v>
      </c>
      <c r="D249" t="s">
        <v>46</v>
      </c>
      <c r="E249" t="s">
        <v>141</v>
      </c>
      <c r="F249" t="str">
        <f>TEXT(Data[[#This Row],[Applied Date]],"mmmm")</f>
        <v>January</v>
      </c>
      <c r="G249" t="s">
        <v>33</v>
      </c>
      <c r="H249" t="s">
        <v>33</v>
      </c>
      <c r="I249" t="s">
        <v>33</v>
      </c>
      <c r="J249" t="s">
        <v>40</v>
      </c>
      <c r="K249" t="s">
        <v>40</v>
      </c>
      <c r="L249">
        <v>33</v>
      </c>
      <c r="M249" t="s">
        <v>34</v>
      </c>
      <c r="N249" t="s">
        <v>42</v>
      </c>
      <c r="O249">
        <v>28</v>
      </c>
      <c r="P249">
        <v>0</v>
      </c>
      <c r="Q249">
        <v>4810000</v>
      </c>
      <c r="R249">
        <v>4809000</v>
      </c>
      <c r="S249" t="s">
        <v>9</v>
      </c>
    </row>
    <row r="250" spans="1:19" x14ac:dyDescent="0.35">
      <c r="A250" t="s">
        <v>430</v>
      </c>
      <c r="B250" t="s">
        <v>49</v>
      </c>
      <c r="C250" t="s">
        <v>50</v>
      </c>
      <c r="D250" t="s">
        <v>21</v>
      </c>
      <c r="E250" t="s">
        <v>431</v>
      </c>
      <c r="F250" t="str">
        <f>TEXT(Data[[#This Row],[Applied Date]],"mmmm")</f>
        <v>June</v>
      </c>
      <c r="G250" t="s">
        <v>33</v>
      </c>
      <c r="H250" t="s">
        <v>23</v>
      </c>
      <c r="I250" t="s">
        <v>24</v>
      </c>
      <c r="J250" t="s">
        <v>24</v>
      </c>
      <c r="K250" t="s">
        <v>24</v>
      </c>
      <c r="M250" t="s">
        <v>25</v>
      </c>
      <c r="N250" t="s">
        <v>42</v>
      </c>
      <c r="O250">
        <v>36</v>
      </c>
      <c r="P250">
        <v>9</v>
      </c>
      <c r="Q250">
        <v>15641000</v>
      </c>
      <c r="S250" t="s">
        <v>27</v>
      </c>
    </row>
    <row r="251" spans="1:19" x14ac:dyDescent="0.35">
      <c r="A251" t="s">
        <v>432</v>
      </c>
      <c r="B251" t="s">
        <v>36</v>
      </c>
      <c r="C251" t="s">
        <v>37</v>
      </c>
      <c r="D251" t="s">
        <v>51</v>
      </c>
      <c r="E251" t="s">
        <v>183</v>
      </c>
      <c r="F251" t="str">
        <f>TEXT(Data[[#This Row],[Applied Date]],"mmmm")</f>
        <v>May</v>
      </c>
      <c r="G251" t="s">
        <v>33</v>
      </c>
      <c r="H251" t="s">
        <v>23</v>
      </c>
      <c r="I251" t="s">
        <v>24</v>
      </c>
      <c r="J251" t="s">
        <v>24</v>
      </c>
      <c r="K251" t="s">
        <v>24</v>
      </c>
      <c r="M251" t="s">
        <v>41</v>
      </c>
      <c r="N251" t="s">
        <v>42</v>
      </c>
      <c r="O251">
        <v>28</v>
      </c>
      <c r="P251">
        <v>1</v>
      </c>
      <c r="Q251">
        <v>6705000</v>
      </c>
      <c r="S251" t="s">
        <v>27</v>
      </c>
    </row>
    <row r="252" spans="1:19" x14ac:dyDescent="0.35">
      <c r="A252" t="s">
        <v>433</v>
      </c>
      <c r="B252" t="s">
        <v>29</v>
      </c>
      <c r="C252" t="s">
        <v>30</v>
      </c>
      <c r="D252" t="s">
        <v>21</v>
      </c>
      <c r="E252" t="s">
        <v>170</v>
      </c>
      <c r="F252" t="str">
        <f>TEXT(Data[[#This Row],[Applied Date]],"mmmm")</f>
        <v>January</v>
      </c>
      <c r="G252" t="s">
        <v>23</v>
      </c>
      <c r="H252" t="s">
        <v>24</v>
      </c>
      <c r="I252" t="s">
        <v>24</v>
      </c>
      <c r="J252" t="s">
        <v>24</v>
      </c>
      <c r="K252" t="s">
        <v>24</v>
      </c>
      <c r="M252" t="s">
        <v>41</v>
      </c>
      <c r="N252" t="s">
        <v>26</v>
      </c>
      <c r="O252">
        <v>32</v>
      </c>
      <c r="P252">
        <v>3</v>
      </c>
      <c r="Q252">
        <v>8417000</v>
      </c>
      <c r="S252" t="s">
        <v>27</v>
      </c>
    </row>
    <row r="253" spans="1:19" x14ac:dyDescent="0.35">
      <c r="A253" t="s">
        <v>434</v>
      </c>
      <c r="B253" t="s">
        <v>36</v>
      </c>
      <c r="C253" t="s">
        <v>37</v>
      </c>
      <c r="D253" t="s">
        <v>31</v>
      </c>
      <c r="E253" t="s">
        <v>281</v>
      </c>
      <c r="F253" t="str">
        <f>TEXT(Data[[#This Row],[Applied Date]],"mmmm")</f>
        <v>May</v>
      </c>
      <c r="G253" t="s">
        <v>33</v>
      </c>
      <c r="H253" t="s">
        <v>23</v>
      </c>
      <c r="I253" t="s">
        <v>24</v>
      </c>
      <c r="J253" t="s">
        <v>24</v>
      </c>
      <c r="K253" t="s">
        <v>24</v>
      </c>
      <c r="M253" t="s">
        <v>57</v>
      </c>
      <c r="N253" t="s">
        <v>42</v>
      </c>
      <c r="O253">
        <v>27</v>
      </c>
      <c r="P253">
        <v>7</v>
      </c>
      <c r="Q253">
        <v>13942000</v>
      </c>
      <c r="S253" t="s">
        <v>27</v>
      </c>
    </row>
    <row r="254" spans="1:19" x14ac:dyDescent="0.35">
      <c r="A254" t="s">
        <v>435</v>
      </c>
      <c r="B254" t="s">
        <v>44</v>
      </c>
      <c r="C254" t="s">
        <v>45</v>
      </c>
      <c r="D254" t="s">
        <v>38</v>
      </c>
      <c r="E254" t="s">
        <v>436</v>
      </c>
      <c r="F254" t="str">
        <f>TEXT(Data[[#This Row],[Applied Date]],"mmmm")</f>
        <v>February</v>
      </c>
      <c r="G254" t="s">
        <v>33</v>
      </c>
      <c r="H254" t="s">
        <v>33</v>
      </c>
      <c r="I254" t="s">
        <v>33</v>
      </c>
      <c r="J254" t="s">
        <v>40</v>
      </c>
      <c r="K254" t="s">
        <v>40</v>
      </c>
      <c r="L254">
        <v>14</v>
      </c>
      <c r="M254" t="s">
        <v>41</v>
      </c>
      <c r="N254" t="s">
        <v>26</v>
      </c>
      <c r="O254">
        <v>39</v>
      </c>
      <c r="P254">
        <v>1</v>
      </c>
      <c r="Q254">
        <v>6682000</v>
      </c>
      <c r="R254">
        <v>6579000</v>
      </c>
      <c r="S254" t="s">
        <v>9</v>
      </c>
    </row>
    <row r="255" spans="1:19" x14ac:dyDescent="0.35">
      <c r="A255" t="s">
        <v>437</v>
      </c>
      <c r="B255" t="s">
        <v>72</v>
      </c>
      <c r="C255" t="s">
        <v>37</v>
      </c>
      <c r="D255" t="s">
        <v>31</v>
      </c>
      <c r="E255" t="s">
        <v>242</v>
      </c>
      <c r="F255" t="str">
        <f>TEXT(Data[[#This Row],[Applied Date]],"mmmm")</f>
        <v>April</v>
      </c>
      <c r="G255" t="s">
        <v>33</v>
      </c>
      <c r="H255" t="s">
        <v>33</v>
      </c>
      <c r="I255" t="s">
        <v>33</v>
      </c>
      <c r="J255" t="s">
        <v>40</v>
      </c>
      <c r="K255" t="s">
        <v>40</v>
      </c>
      <c r="L255">
        <v>19</v>
      </c>
      <c r="M255" t="s">
        <v>41</v>
      </c>
      <c r="N255" t="s">
        <v>42</v>
      </c>
      <c r="O255">
        <v>29</v>
      </c>
      <c r="P255">
        <v>10</v>
      </c>
      <c r="Q255">
        <v>16550000</v>
      </c>
      <c r="R255">
        <v>15801000</v>
      </c>
      <c r="S255" t="s">
        <v>9</v>
      </c>
    </row>
    <row r="256" spans="1:19" x14ac:dyDescent="0.35">
      <c r="A256" t="s">
        <v>438</v>
      </c>
      <c r="B256" t="s">
        <v>29</v>
      </c>
      <c r="C256" t="s">
        <v>30</v>
      </c>
      <c r="D256" t="s">
        <v>38</v>
      </c>
      <c r="E256" t="s">
        <v>157</v>
      </c>
      <c r="F256" t="str">
        <f>TEXT(Data[[#This Row],[Applied Date]],"mmmm")</f>
        <v>June</v>
      </c>
      <c r="G256" t="s">
        <v>33</v>
      </c>
      <c r="H256" t="s">
        <v>33</v>
      </c>
      <c r="I256" t="s">
        <v>23</v>
      </c>
      <c r="J256" t="s">
        <v>24</v>
      </c>
      <c r="K256" t="s">
        <v>24</v>
      </c>
      <c r="M256" t="s">
        <v>57</v>
      </c>
      <c r="N256" t="s">
        <v>42</v>
      </c>
      <c r="O256">
        <v>39</v>
      </c>
      <c r="P256">
        <v>5</v>
      </c>
      <c r="Q256">
        <v>10748000</v>
      </c>
      <c r="S256" t="s">
        <v>27</v>
      </c>
    </row>
    <row r="257" spans="1:19" x14ac:dyDescent="0.35">
      <c r="A257" t="s">
        <v>439</v>
      </c>
      <c r="B257" t="s">
        <v>36</v>
      </c>
      <c r="C257" t="s">
        <v>37</v>
      </c>
      <c r="D257" t="s">
        <v>38</v>
      </c>
      <c r="E257" t="s">
        <v>440</v>
      </c>
      <c r="F257" t="str">
        <f>TEXT(Data[[#This Row],[Applied Date]],"mmmm")</f>
        <v>June</v>
      </c>
      <c r="G257" t="s">
        <v>33</v>
      </c>
      <c r="H257" t="s">
        <v>33</v>
      </c>
      <c r="I257" t="s">
        <v>33</v>
      </c>
      <c r="J257" t="s">
        <v>40</v>
      </c>
      <c r="K257" t="s">
        <v>40</v>
      </c>
      <c r="L257">
        <v>31</v>
      </c>
      <c r="M257" t="s">
        <v>57</v>
      </c>
      <c r="N257" t="s">
        <v>42</v>
      </c>
      <c r="O257">
        <v>40</v>
      </c>
      <c r="P257">
        <v>7</v>
      </c>
      <c r="Q257">
        <v>13956000</v>
      </c>
      <c r="R257">
        <v>13507000</v>
      </c>
      <c r="S257" t="s">
        <v>9</v>
      </c>
    </row>
    <row r="258" spans="1:19" x14ac:dyDescent="0.35">
      <c r="A258" t="s">
        <v>441</v>
      </c>
      <c r="B258" t="s">
        <v>44</v>
      </c>
      <c r="C258" t="s">
        <v>45</v>
      </c>
      <c r="D258" t="s">
        <v>21</v>
      </c>
      <c r="E258" t="s">
        <v>159</v>
      </c>
      <c r="F258" t="str">
        <f>TEXT(Data[[#This Row],[Applied Date]],"mmmm")</f>
        <v>April</v>
      </c>
      <c r="G258" t="s">
        <v>33</v>
      </c>
      <c r="H258" t="s">
        <v>33</v>
      </c>
      <c r="I258" t="s">
        <v>23</v>
      </c>
      <c r="J258" t="s">
        <v>24</v>
      </c>
      <c r="K258" t="s">
        <v>24</v>
      </c>
      <c r="M258" t="s">
        <v>25</v>
      </c>
      <c r="N258" t="s">
        <v>26</v>
      </c>
      <c r="O258">
        <v>39</v>
      </c>
      <c r="P258">
        <v>5</v>
      </c>
      <c r="Q258">
        <v>11035000</v>
      </c>
      <c r="S258" t="s">
        <v>27</v>
      </c>
    </row>
    <row r="259" spans="1:19" x14ac:dyDescent="0.35">
      <c r="A259" t="s">
        <v>442</v>
      </c>
      <c r="B259" t="s">
        <v>82</v>
      </c>
      <c r="C259" t="s">
        <v>83</v>
      </c>
      <c r="D259" t="s">
        <v>38</v>
      </c>
      <c r="E259" t="s">
        <v>97</v>
      </c>
      <c r="F259" t="str">
        <f>TEXT(Data[[#This Row],[Applied Date]],"mmmm")</f>
        <v>June</v>
      </c>
      <c r="G259" t="s">
        <v>33</v>
      </c>
      <c r="H259" t="s">
        <v>23</v>
      </c>
      <c r="I259" t="s">
        <v>24</v>
      </c>
      <c r="J259" t="s">
        <v>24</v>
      </c>
      <c r="K259" t="s">
        <v>24</v>
      </c>
      <c r="M259" t="s">
        <v>41</v>
      </c>
      <c r="N259" t="s">
        <v>42</v>
      </c>
      <c r="O259">
        <v>21</v>
      </c>
      <c r="P259">
        <v>8</v>
      </c>
      <c r="Q259">
        <v>15106000</v>
      </c>
      <c r="S259" t="s">
        <v>27</v>
      </c>
    </row>
    <row r="260" spans="1:19" x14ac:dyDescent="0.35">
      <c r="A260" t="s">
        <v>443</v>
      </c>
      <c r="B260" t="s">
        <v>82</v>
      </c>
      <c r="C260" t="s">
        <v>83</v>
      </c>
      <c r="D260" t="s">
        <v>31</v>
      </c>
      <c r="E260" t="s">
        <v>444</v>
      </c>
      <c r="F260" t="str">
        <f>TEXT(Data[[#This Row],[Applied Date]],"mmmm")</f>
        <v>January</v>
      </c>
      <c r="G260" t="s">
        <v>33</v>
      </c>
      <c r="H260" t="s">
        <v>33</v>
      </c>
      <c r="I260" t="s">
        <v>33</v>
      </c>
      <c r="J260" t="s">
        <v>40</v>
      </c>
      <c r="K260" t="s">
        <v>40</v>
      </c>
      <c r="L260">
        <v>22</v>
      </c>
      <c r="M260" t="s">
        <v>34</v>
      </c>
      <c r="N260" t="s">
        <v>42</v>
      </c>
      <c r="O260">
        <v>40</v>
      </c>
      <c r="P260">
        <v>6</v>
      </c>
      <c r="Q260">
        <v>11995000</v>
      </c>
      <c r="R260">
        <v>11541000</v>
      </c>
      <c r="S260" t="s">
        <v>9</v>
      </c>
    </row>
    <row r="261" spans="1:19" x14ac:dyDescent="0.35">
      <c r="A261" t="s">
        <v>445</v>
      </c>
      <c r="B261" t="s">
        <v>44</v>
      </c>
      <c r="C261" t="s">
        <v>45</v>
      </c>
      <c r="D261" t="s">
        <v>31</v>
      </c>
      <c r="E261" t="s">
        <v>446</v>
      </c>
      <c r="F261" t="str">
        <f>TEXT(Data[[#This Row],[Applied Date]],"mmmm")</f>
        <v>April</v>
      </c>
      <c r="G261" t="s">
        <v>33</v>
      </c>
      <c r="H261" t="s">
        <v>33</v>
      </c>
      <c r="I261" t="s">
        <v>33</v>
      </c>
      <c r="J261" t="s">
        <v>40</v>
      </c>
      <c r="K261" t="s">
        <v>40</v>
      </c>
      <c r="L261">
        <v>23</v>
      </c>
      <c r="M261" t="s">
        <v>25</v>
      </c>
      <c r="N261" t="s">
        <v>26</v>
      </c>
      <c r="O261">
        <v>21</v>
      </c>
      <c r="P261">
        <v>1</v>
      </c>
      <c r="Q261">
        <v>6996000</v>
      </c>
      <c r="R261">
        <v>6990000</v>
      </c>
      <c r="S261" t="s">
        <v>9</v>
      </c>
    </row>
    <row r="262" spans="1:19" x14ac:dyDescent="0.35">
      <c r="A262" t="s">
        <v>447</v>
      </c>
      <c r="B262" t="s">
        <v>29</v>
      </c>
      <c r="C262" t="s">
        <v>30</v>
      </c>
      <c r="D262" t="s">
        <v>51</v>
      </c>
      <c r="E262" t="s">
        <v>176</v>
      </c>
      <c r="F262" t="str">
        <f>TEXT(Data[[#This Row],[Applied Date]],"mmmm")</f>
        <v>February</v>
      </c>
      <c r="G262" t="s">
        <v>33</v>
      </c>
      <c r="H262" t="s">
        <v>23</v>
      </c>
      <c r="I262" t="s">
        <v>24</v>
      </c>
      <c r="J262" t="s">
        <v>24</v>
      </c>
      <c r="K262" t="s">
        <v>24</v>
      </c>
      <c r="M262" t="s">
        <v>41</v>
      </c>
      <c r="N262" t="s">
        <v>26</v>
      </c>
      <c r="O262">
        <v>40</v>
      </c>
      <c r="P262">
        <v>5</v>
      </c>
      <c r="Q262">
        <v>10603000</v>
      </c>
      <c r="S262" t="s">
        <v>27</v>
      </c>
    </row>
    <row r="263" spans="1:19" x14ac:dyDescent="0.35">
      <c r="A263" t="s">
        <v>448</v>
      </c>
      <c r="B263" t="s">
        <v>19</v>
      </c>
      <c r="C263" t="s">
        <v>20</v>
      </c>
      <c r="D263" t="s">
        <v>38</v>
      </c>
      <c r="E263" t="s">
        <v>413</v>
      </c>
      <c r="F263" t="str">
        <f>TEXT(Data[[#This Row],[Applied Date]],"mmmm")</f>
        <v>January</v>
      </c>
      <c r="G263" t="s">
        <v>33</v>
      </c>
      <c r="H263" t="s">
        <v>23</v>
      </c>
      <c r="I263" t="s">
        <v>24</v>
      </c>
      <c r="J263" t="s">
        <v>24</v>
      </c>
      <c r="K263" t="s">
        <v>24</v>
      </c>
      <c r="M263" t="s">
        <v>57</v>
      </c>
      <c r="N263" t="s">
        <v>26</v>
      </c>
      <c r="O263">
        <v>24</v>
      </c>
      <c r="P263">
        <v>3</v>
      </c>
      <c r="Q263">
        <v>9031000</v>
      </c>
      <c r="S263" t="s">
        <v>27</v>
      </c>
    </row>
    <row r="264" spans="1:19" x14ac:dyDescent="0.35">
      <c r="A264" t="s">
        <v>449</v>
      </c>
      <c r="B264" t="s">
        <v>44</v>
      </c>
      <c r="C264" t="s">
        <v>45</v>
      </c>
      <c r="D264" t="s">
        <v>31</v>
      </c>
      <c r="E264" t="s">
        <v>153</v>
      </c>
      <c r="F264" t="str">
        <f>TEXT(Data[[#This Row],[Applied Date]],"mmmm")</f>
        <v>February</v>
      </c>
      <c r="G264" t="s">
        <v>23</v>
      </c>
      <c r="H264" t="s">
        <v>24</v>
      </c>
      <c r="I264" t="s">
        <v>24</v>
      </c>
      <c r="J264" t="s">
        <v>24</v>
      </c>
      <c r="K264" t="s">
        <v>24</v>
      </c>
      <c r="M264" t="s">
        <v>57</v>
      </c>
      <c r="N264" t="s">
        <v>26</v>
      </c>
      <c r="O264">
        <v>36</v>
      </c>
      <c r="P264">
        <v>8</v>
      </c>
      <c r="Q264">
        <v>15010000</v>
      </c>
      <c r="S264" t="s">
        <v>27</v>
      </c>
    </row>
    <row r="265" spans="1:19" x14ac:dyDescent="0.35">
      <c r="A265" t="s">
        <v>450</v>
      </c>
      <c r="B265" t="s">
        <v>36</v>
      </c>
      <c r="C265" t="s">
        <v>37</v>
      </c>
      <c r="D265" t="s">
        <v>21</v>
      </c>
      <c r="E265" t="s">
        <v>451</v>
      </c>
      <c r="F265" t="str">
        <f>TEXT(Data[[#This Row],[Applied Date]],"mmmm")</f>
        <v>April</v>
      </c>
      <c r="G265" t="s">
        <v>23</v>
      </c>
      <c r="H265" t="s">
        <v>24</v>
      </c>
      <c r="I265" t="s">
        <v>24</v>
      </c>
      <c r="J265" t="s">
        <v>24</v>
      </c>
      <c r="K265" t="s">
        <v>24</v>
      </c>
      <c r="M265" t="s">
        <v>63</v>
      </c>
      <c r="N265" t="s">
        <v>26</v>
      </c>
      <c r="O265">
        <v>38</v>
      </c>
      <c r="P265">
        <v>2</v>
      </c>
      <c r="Q265">
        <v>7253000</v>
      </c>
      <c r="S265" t="s">
        <v>27</v>
      </c>
    </row>
    <row r="266" spans="1:19" x14ac:dyDescent="0.35">
      <c r="A266" t="s">
        <v>452</v>
      </c>
      <c r="B266" t="s">
        <v>36</v>
      </c>
      <c r="C266" t="s">
        <v>37</v>
      </c>
      <c r="D266" t="s">
        <v>38</v>
      </c>
      <c r="E266" t="s">
        <v>105</v>
      </c>
      <c r="F266" t="str">
        <f>TEXT(Data[[#This Row],[Applied Date]],"mmmm")</f>
        <v>February</v>
      </c>
      <c r="G266" t="s">
        <v>33</v>
      </c>
      <c r="H266" t="s">
        <v>23</v>
      </c>
      <c r="I266" t="s">
        <v>24</v>
      </c>
      <c r="J266" t="s">
        <v>24</v>
      </c>
      <c r="K266" t="s">
        <v>24</v>
      </c>
      <c r="M266" t="s">
        <v>34</v>
      </c>
      <c r="N266" t="s">
        <v>42</v>
      </c>
      <c r="O266">
        <v>27</v>
      </c>
      <c r="P266">
        <v>10</v>
      </c>
      <c r="Q266">
        <v>16788000</v>
      </c>
      <c r="S266" t="s">
        <v>27</v>
      </c>
    </row>
    <row r="267" spans="1:19" x14ac:dyDescent="0.35">
      <c r="A267" t="s">
        <v>453</v>
      </c>
      <c r="B267" t="s">
        <v>66</v>
      </c>
      <c r="C267" t="s">
        <v>67</v>
      </c>
      <c r="D267" t="s">
        <v>38</v>
      </c>
      <c r="E267" t="s">
        <v>249</v>
      </c>
      <c r="F267" t="str">
        <f>TEXT(Data[[#This Row],[Applied Date]],"mmmm")</f>
        <v>January</v>
      </c>
      <c r="G267" t="s">
        <v>33</v>
      </c>
      <c r="H267" t="s">
        <v>33</v>
      </c>
      <c r="I267" t="s">
        <v>23</v>
      </c>
      <c r="J267" t="s">
        <v>24</v>
      </c>
      <c r="K267" t="s">
        <v>24</v>
      </c>
      <c r="M267" t="s">
        <v>41</v>
      </c>
      <c r="N267" t="s">
        <v>42</v>
      </c>
      <c r="O267">
        <v>36</v>
      </c>
      <c r="P267">
        <v>9</v>
      </c>
      <c r="Q267">
        <v>15507000</v>
      </c>
      <c r="S267" t="s">
        <v>27</v>
      </c>
    </row>
    <row r="268" spans="1:19" x14ac:dyDescent="0.35">
      <c r="A268" t="s">
        <v>454</v>
      </c>
      <c r="B268" t="s">
        <v>44</v>
      </c>
      <c r="C268" t="s">
        <v>45</v>
      </c>
      <c r="D268" t="s">
        <v>79</v>
      </c>
      <c r="E268" t="s">
        <v>61</v>
      </c>
      <c r="F268" t="str">
        <f>TEXT(Data[[#This Row],[Applied Date]],"mmmm")</f>
        <v>March</v>
      </c>
      <c r="G268" t="s">
        <v>33</v>
      </c>
      <c r="H268" t="s">
        <v>33</v>
      </c>
      <c r="I268" t="s">
        <v>33</v>
      </c>
      <c r="J268" t="s">
        <v>40</v>
      </c>
      <c r="K268" t="s">
        <v>40</v>
      </c>
      <c r="L268">
        <v>15</v>
      </c>
      <c r="M268" t="s">
        <v>41</v>
      </c>
      <c r="N268" t="s">
        <v>42</v>
      </c>
      <c r="O268">
        <v>29</v>
      </c>
      <c r="P268">
        <v>5</v>
      </c>
      <c r="Q268">
        <v>10719000</v>
      </c>
      <c r="R268">
        <v>10353000</v>
      </c>
      <c r="S268" t="s">
        <v>9</v>
      </c>
    </row>
    <row r="269" spans="1:19" x14ac:dyDescent="0.35">
      <c r="A269" t="s">
        <v>455</v>
      </c>
      <c r="B269" t="s">
        <v>44</v>
      </c>
      <c r="C269" t="s">
        <v>45</v>
      </c>
      <c r="D269" t="s">
        <v>38</v>
      </c>
      <c r="E269" t="s">
        <v>273</v>
      </c>
      <c r="F269" t="str">
        <f>TEXT(Data[[#This Row],[Applied Date]],"mmmm")</f>
        <v>March</v>
      </c>
      <c r="G269" t="s">
        <v>33</v>
      </c>
      <c r="H269" t="s">
        <v>33</v>
      </c>
      <c r="I269" t="s">
        <v>33</v>
      </c>
      <c r="J269" t="s">
        <v>40</v>
      </c>
      <c r="K269" t="s">
        <v>40</v>
      </c>
      <c r="L269">
        <v>17</v>
      </c>
      <c r="M269" t="s">
        <v>25</v>
      </c>
      <c r="N269" t="s">
        <v>42</v>
      </c>
      <c r="O269">
        <v>40</v>
      </c>
      <c r="P269">
        <v>2</v>
      </c>
      <c r="Q269">
        <v>6960000</v>
      </c>
      <c r="R269">
        <v>6858000</v>
      </c>
      <c r="S269" t="s">
        <v>9</v>
      </c>
    </row>
    <row r="270" spans="1:19" x14ac:dyDescent="0.35">
      <c r="A270" t="s">
        <v>456</v>
      </c>
      <c r="B270" t="s">
        <v>19</v>
      </c>
      <c r="C270" t="s">
        <v>20</v>
      </c>
      <c r="D270" t="s">
        <v>46</v>
      </c>
      <c r="E270" t="s">
        <v>457</v>
      </c>
      <c r="F270" t="str">
        <f>TEXT(Data[[#This Row],[Applied Date]],"mmmm")</f>
        <v>April</v>
      </c>
      <c r="G270" t="s">
        <v>23</v>
      </c>
      <c r="H270" t="s">
        <v>24</v>
      </c>
      <c r="I270" t="s">
        <v>24</v>
      </c>
      <c r="J270" t="s">
        <v>24</v>
      </c>
      <c r="K270" t="s">
        <v>24</v>
      </c>
      <c r="M270" t="s">
        <v>63</v>
      </c>
      <c r="N270" t="s">
        <v>26</v>
      </c>
      <c r="O270">
        <v>30</v>
      </c>
      <c r="P270">
        <v>7</v>
      </c>
      <c r="Q270">
        <v>13175000</v>
      </c>
      <c r="S270" t="s">
        <v>27</v>
      </c>
    </row>
    <row r="271" spans="1:19" x14ac:dyDescent="0.35">
      <c r="A271" t="s">
        <v>458</v>
      </c>
      <c r="B271" t="s">
        <v>19</v>
      </c>
      <c r="C271" t="s">
        <v>20</v>
      </c>
      <c r="D271" t="s">
        <v>46</v>
      </c>
      <c r="E271" t="s">
        <v>257</v>
      </c>
      <c r="F271" t="str">
        <f>TEXT(Data[[#This Row],[Applied Date]],"mmmm")</f>
        <v>February</v>
      </c>
      <c r="G271" t="s">
        <v>33</v>
      </c>
      <c r="H271" t="s">
        <v>33</v>
      </c>
      <c r="I271" t="s">
        <v>33</v>
      </c>
      <c r="J271" t="s">
        <v>40</v>
      </c>
      <c r="K271" t="s">
        <v>40</v>
      </c>
      <c r="L271">
        <v>22</v>
      </c>
      <c r="M271" t="s">
        <v>57</v>
      </c>
      <c r="N271" t="s">
        <v>42</v>
      </c>
      <c r="O271">
        <v>37</v>
      </c>
      <c r="P271">
        <v>5</v>
      </c>
      <c r="Q271">
        <v>11545000</v>
      </c>
      <c r="R271">
        <v>11060000</v>
      </c>
      <c r="S271" t="s">
        <v>9</v>
      </c>
    </row>
    <row r="272" spans="1:19" x14ac:dyDescent="0.35">
      <c r="A272" t="s">
        <v>459</v>
      </c>
      <c r="B272" t="s">
        <v>29</v>
      </c>
      <c r="C272" t="s">
        <v>30</v>
      </c>
      <c r="D272" t="s">
        <v>79</v>
      </c>
      <c r="E272" t="s">
        <v>92</v>
      </c>
      <c r="F272" t="str">
        <f>TEXT(Data[[#This Row],[Applied Date]],"mmmm")</f>
        <v>April</v>
      </c>
      <c r="G272" t="s">
        <v>33</v>
      </c>
      <c r="H272" t="s">
        <v>33</v>
      </c>
      <c r="I272" t="s">
        <v>23</v>
      </c>
      <c r="J272" t="s">
        <v>24</v>
      </c>
      <c r="K272" t="s">
        <v>24</v>
      </c>
      <c r="M272" t="s">
        <v>34</v>
      </c>
      <c r="N272" t="s">
        <v>26</v>
      </c>
      <c r="O272">
        <v>38</v>
      </c>
      <c r="P272">
        <v>5</v>
      </c>
      <c r="Q272">
        <v>11411000</v>
      </c>
      <c r="S272" t="s">
        <v>27</v>
      </c>
    </row>
    <row r="273" spans="1:19" x14ac:dyDescent="0.35">
      <c r="A273" t="s">
        <v>460</v>
      </c>
      <c r="B273" t="s">
        <v>66</v>
      </c>
      <c r="C273" t="s">
        <v>67</v>
      </c>
      <c r="D273" t="s">
        <v>21</v>
      </c>
      <c r="E273" t="s">
        <v>461</v>
      </c>
      <c r="F273" t="str">
        <f>TEXT(Data[[#This Row],[Applied Date]],"mmmm")</f>
        <v>January</v>
      </c>
      <c r="G273" t="s">
        <v>33</v>
      </c>
      <c r="H273" t="s">
        <v>23</v>
      </c>
      <c r="I273" t="s">
        <v>24</v>
      </c>
      <c r="J273" t="s">
        <v>24</v>
      </c>
      <c r="K273" t="s">
        <v>24</v>
      </c>
      <c r="M273" t="s">
        <v>34</v>
      </c>
      <c r="N273" t="s">
        <v>26</v>
      </c>
      <c r="O273">
        <v>29</v>
      </c>
      <c r="P273">
        <v>8</v>
      </c>
      <c r="Q273">
        <v>15099000</v>
      </c>
      <c r="S273" t="s">
        <v>27</v>
      </c>
    </row>
    <row r="274" spans="1:19" x14ac:dyDescent="0.35">
      <c r="A274" t="s">
        <v>462</v>
      </c>
      <c r="B274" t="s">
        <v>72</v>
      </c>
      <c r="C274" t="s">
        <v>37</v>
      </c>
      <c r="D274" t="s">
        <v>79</v>
      </c>
      <c r="E274" t="s">
        <v>375</v>
      </c>
      <c r="F274" t="str">
        <f>TEXT(Data[[#This Row],[Applied Date]],"mmmm")</f>
        <v>March</v>
      </c>
      <c r="G274" t="s">
        <v>33</v>
      </c>
      <c r="H274" t="s">
        <v>23</v>
      </c>
      <c r="I274" t="s">
        <v>24</v>
      </c>
      <c r="J274" t="s">
        <v>24</v>
      </c>
      <c r="K274" t="s">
        <v>24</v>
      </c>
      <c r="M274" t="s">
        <v>34</v>
      </c>
      <c r="N274" t="s">
        <v>42</v>
      </c>
      <c r="O274">
        <v>24</v>
      </c>
      <c r="P274">
        <v>5</v>
      </c>
      <c r="Q274">
        <v>10701000</v>
      </c>
      <c r="S274" t="s">
        <v>27</v>
      </c>
    </row>
    <row r="275" spans="1:19" x14ac:dyDescent="0.35">
      <c r="A275" t="s">
        <v>463</v>
      </c>
      <c r="B275" t="s">
        <v>82</v>
      </c>
      <c r="C275" t="s">
        <v>83</v>
      </c>
      <c r="D275" t="s">
        <v>79</v>
      </c>
      <c r="E275" t="s">
        <v>338</v>
      </c>
      <c r="F275" t="str">
        <f>TEXT(Data[[#This Row],[Applied Date]],"mmmm")</f>
        <v>March</v>
      </c>
      <c r="G275" t="s">
        <v>33</v>
      </c>
      <c r="H275" t="s">
        <v>23</v>
      </c>
      <c r="I275" t="s">
        <v>24</v>
      </c>
      <c r="J275" t="s">
        <v>24</v>
      </c>
      <c r="K275" t="s">
        <v>24</v>
      </c>
      <c r="M275" t="s">
        <v>41</v>
      </c>
      <c r="N275" t="s">
        <v>26</v>
      </c>
      <c r="O275">
        <v>34</v>
      </c>
      <c r="P275">
        <v>2</v>
      </c>
      <c r="Q275">
        <v>7149000</v>
      </c>
      <c r="S275" t="s">
        <v>27</v>
      </c>
    </row>
    <row r="276" spans="1:19" x14ac:dyDescent="0.35">
      <c r="A276" t="s">
        <v>464</v>
      </c>
      <c r="B276" t="s">
        <v>29</v>
      </c>
      <c r="C276" t="s">
        <v>30</v>
      </c>
      <c r="D276" t="s">
        <v>21</v>
      </c>
      <c r="E276" t="s">
        <v>257</v>
      </c>
      <c r="F276" t="str">
        <f>TEXT(Data[[#This Row],[Applied Date]],"mmmm")</f>
        <v>February</v>
      </c>
      <c r="G276" t="s">
        <v>33</v>
      </c>
      <c r="H276" t="s">
        <v>23</v>
      </c>
      <c r="I276" t="s">
        <v>24</v>
      </c>
      <c r="J276" t="s">
        <v>24</v>
      </c>
      <c r="K276" t="s">
        <v>24</v>
      </c>
      <c r="M276" t="s">
        <v>25</v>
      </c>
      <c r="N276" t="s">
        <v>26</v>
      </c>
      <c r="O276">
        <v>30</v>
      </c>
      <c r="P276">
        <v>3</v>
      </c>
      <c r="Q276">
        <v>8518000</v>
      </c>
      <c r="S276" t="s">
        <v>27</v>
      </c>
    </row>
    <row r="277" spans="1:19" x14ac:dyDescent="0.35">
      <c r="A277" t="s">
        <v>465</v>
      </c>
      <c r="B277" t="s">
        <v>72</v>
      </c>
      <c r="C277" t="s">
        <v>37</v>
      </c>
      <c r="D277" t="s">
        <v>46</v>
      </c>
      <c r="E277" t="s">
        <v>117</v>
      </c>
      <c r="F277" t="str">
        <f>TEXT(Data[[#This Row],[Applied Date]],"mmmm")</f>
        <v>February</v>
      </c>
      <c r="G277" t="s">
        <v>33</v>
      </c>
      <c r="H277" t="s">
        <v>33</v>
      </c>
      <c r="I277" t="s">
        <v>33</v>
      </c>
      <c r="J277" t="s">
        <v>40</v>
      </c>
      <c r="K277" t="s">
        <v>62</v>
      </c>
      <c r="L277">
        <v>17</v>
      </c>
      <c r="M277" t="s">
        <v>34</v>
      </c>
      <c r="N277" t="s">
        <v>26</v>
      </c>
      <c r="O277">
        <v>32</v>
      </c>
      <c r="P277">
        <v>6</v>
      </c>
      <c r="Q277">
        <v>12659000</v>
      </c>
      <c r="S277" t="s">
        <v>64</v>
      </c>
    </row>
    <row r="278" spans="1:19" x14ac:dyDescent="0.35">
      <c r="A278" t="s">
        <v>466</v>
      </c>
      <c r="B278" t="s">
        <v>72</v>
      </c>
      <c r="C278" t="s">
        <v>37</v>
      </c>
      <c r="D278" t="s">
        <v>21</v>
      </c>
      <c r="E278" t="s">
        <v>467</v>
      </c>
      <c r="F278" t="str">
        <f>TEXT(Data[[#This Row],[Applied Date]],"mmmm")</f>
        <v>February</v>
      </c>
      <c r="G278" t="s">
        <v>33</v>
      </c>
      <c r="H278" t="s">
        <v>23</v>
      </c>
      <c r="I278" t="s">
        <v>24</v>
      </c>
      <c r="J278" t="s">
        <v>24</v>
      </c>
      <c r="K278" t="s">
        <v>24</v>
      </c>
      <c r="M278" t="s">
        <v>63</v>
      </c>
      <c r="N278" t="s">
        <v>26</v>
      </c>
      <c r="O278">
        <v>24</v>
      </c>
      <c r="P278">
        <v>4</v>
      </c>
      <c r="Q278">
        <v>9844000</v>
      </c>
      <c r="S278" t="s">
        <v>27</v>
      </c>
    </row>
    <row r="279" spans="1:19" x14ac:dyDescent="0.35">
      <c r="A279" t="s">
        <v>468</v>
      </c>
      <c r="B279" t="s">
        <v>44</v>
      </c>
      <c r="C279" t="s">
        <v>45</v>
      </c>
      <c r="D279" t="s">
        <v>51</v>
      </c>
      <c r="E279" t="s">
        <v>115</v>
      </c>
      <c r="F279" t="str">
        <f>TEXT(Data[[#This Row],[Applied Date]],"mmmm")</f>
        <v>February</v>
      </c>
      <c r="G279" t="s">
        <v>33</v>
      </c>
      <c r="H279" t="s">
        <v>33</v>
      </c>
      <c r="I279" t="s">
        <v>23</v>
      </c>
      <c r="J279" t="s">
        <v>24</v>
      </c>
      <c r="K279" t="s">
        <v>24</v>
      </c>
      <c r="M279" t="s">
        <v>41</v>
      </c>
      <c r="N279" t="s">
        <v>26</v>
      </c>
      <c r="O279">
        <v>36</v>
      </c>
      <c r="P279">
        <v>8</v>
      </c>
      <c r="Q279">
        <v>14667000</v>
      </c>
      <c r="S279" t="s">
        <v>27</v>
      </c>
    </row>
    <row r="280" spans="1:19" x14ac:dyDescent="0.35">
      <c r="A280" t="s">
        <v>469</v>
      </c>
      <c r="B280" t="s">
        <v>36</v>
      </c>
      <c r="C280" t="s">
        <v>37</v>
      </c>
      <c r="D280" t="s">
        <v>38</v>
      </c>
      <c r="E280" t="s">
        <v>470</v>
      </c>
      <c r="F280" t="str">
        <f>TEXT(Data[[#This Row],[Applied Date]],"mmmm")</f>
        <v>February</v>
      </c>
      <c r="G280" t="s">
        <v>33</v>
      </c>
      <c r="H280" t="s">
        <v>33</v>
      </c>
      <c r="I280" t="s">
        <v>33</v>
      </c>
      <c r="J280" t="s">
        <v>40</v>
      </c>
      <c r="K280" t="s">
        <v>62</v>
      </c>
      <c r="L280">
        <v>24</v>
      </c>
      <c r="M280" t="s">
        <v>34</v>
      </c>
      <c r="N280" t="s">
        <v>26</v>
      </c>
      <c r="O280">
        <v>33</v>
      </c>
      <c r="P280">
        <v>2</v>
      </c>
      <c r="Q280">
        <v>8064000</v>
      </c>
      <c r="S280" t="s">
        <v>64</v>
      </c>
    </row>
    <row r="281" spans="1:19" x14ac:dyDescent="0.35">
      <c r="A281" t="s">
        <v>471</v>
      </c>
      <c r="B281" t="s">
        <v>72</v>
      </c>
      <c r="C281" t="s">
        <v>37</v>
      </c>
      <c r="D281" t="s">
        <v>31</v>
      </c>
      <c r="E281" t="s">
        <v>472</v>
      </c>
      <c r="F281" t="str">
        <f>TEXT(Data[[#This Row],[Applied Date]],"mmmm")</f>
        <v>January</v>
      </c>
      <c r="G281" t="s">
        <v>33</v>
      </c>
      <c r="H281" t="s">
        <v>33</v>
      </c>
      <c r="I281" t="s">
        <v>33</v>
      </c>
      <c r="J281" t="s">
        <v>40</v>
      </c>
      <c r="K281" t="s">
        <v>40</v>
      </c>
      <c r="L281">
        <v>14</v>
      </c>
      <c r="M281" t="s">
        <v>57</v>
      </c>
      <c r="N281" t="s">
        <v>26</v>
      </c>
      <c r="O281">
        <v>39</v>
      </c>
      <c r="P281">
        <v>9</v>
      </c>
      <c r="Q281">
        <v>16446000</v>
      </c>
      <c r="R281">
        <v>16090000</v>
      </c>
      <c r="S281" t="s">
        <v>9</v>
      </c>
    </row>
    <row r="282" spans="1:19" x14ac:dyDescent="0.35">
      <c r="A282" t="s">
        <v>473</v>
      </c>
      <c r="B282" t="s">
        <v>72</v>
      </c>
      <c r="C282" t="s">
        <v>37</v>
      </c>
      <c r="D282" t="s">
        <v>79</v>
      </c>
      <c r="E282" t="s">
        <v>474</v>
      </c>
      <c r="F282" t="str">
        <f>TEXT(Data[[#This Row],[Applied Date]],"mmmm")</f>
        <v>June</v>
      </c>
      <c r="G282" t="s">
        <v>23</v>
      </c>
      <c r="H282" t="s">
        <v>24</v>
      </c>
      <c r="I282" t="s">
        <v>24</v>
      </c>
      <c r="J282" t="s">
        <v>24</v>
      </c>
      <c r="K282" t="s">
        <v>24</v>
      </c>
      <c r="M282" t="s">
        <v>41</v>
      </c>
      <c r="N282" t="s">
        <v>42</v>
      </c>
      <c r="O282">
        <v>31</v>
      </c>
      <c r="P282">
        <v>10</v>
      </c>
      <c r="Q282">
        <v>17000000</v>
      </c>
      <c r="S282" t="s">
        <v>27</v>
      </c>
    </row>
    <row r="283" spans="1:19" x14ac:dyDescent="0.35">
      <c r="A283" t="s">
        <v>475</v>
      </c>
      <c r="B283" t="s">
        <v>66</v>
      </c>
      <c r="C283" t="s">
        <v>67</v>
      </c>
      <c r="D283" t="s">
        <v>79</v>
      </c>
      <c r="E283" t="s">
        <v>133</v>
      </c>
      <c r="F283" t="str">
        <f>TEXT(Data[[#This Row],[Applied Date]],"mmmm")</f>
        <v>June</v>
      </c>
      <c r="G283" t="s">
        <v>23</v>
      </c>
      <c r="H283" t="s">
        <v>24</v>
      </c>
      <c r="I283" t="s">
        <v>24</v>
      </c>
      <c r="J283" t="s">
        <v>24</v>
      </c>
      <c r="K283" t="s">
        <v>24</v>
      </c>
      <c r="M283" t="s">
        <v>25</v>
      </c>
      <c r="N283" t="s">
        <v>26</v>
      </c>
      <c r="O283">
        <v>24</v>
      </c>
      <c r="P283">
        <v>9</v>
      </c>
      <c r="Q283">
        <v>15602000</v>
      </c>
      <c r="S283" t="s">
        <v>27</v>
      </c>
    </row>
    <row r="284" spans="1:19" x14ac:dyDescent="0.35">
      <c r="A284" t="s">
        <v>476</v>
      </c>
      <c r="B284" t="s">
        <v>82</v>
      </c>
      <c r="C284" t="s">
        <v>83</v>
      </c>
      <c r="D284" t="s">
        <v>46</v>
      </c>
      <c r="E284" t="s">
        <v>80</v>
      </c>
      <c r="F284" t="str">
        <f>TEXT(Data[[#This Row],[Applied Date]],"mmmm")</f>
        <v>March</v>
      </c>
      <c r="G284" t="s">
        <v>33</v>
      </c>
      <c r="H284" t="s">
        <v>33</v>
      </c>
      <c r="I284" t="s">
        <v>23</v>
      </c>
      <c r="J284" t="s">
        <v>24</v>
      </c>
      <c r="K284" t="s">
        <v>24</v>
      </c>
      <c r="M284" t="s">
        <v>41</v>
      </c>
      <c r="N284" t="s">
        <v>42</v>
      </c>
      <c r="O284">
        <v>36</v>
      </c>
      <c r="P284">
        <v>5</v>
      </c>
      <c r="Q284">
        <v>11233000</v>
      </c>
      <c r="S284" t="s">
        <v>27</v>
      </c>
    </row>
    <row r="285" spans="1:19" x14ac:dyDescent="0.35">
      <c r="A285" t="s">
        <v>477</v>
      </c>
      <c r="B285" t="s">
        <v>44</v>
      </c>
      <c r="C285" t="s">
        <v>45</v>
      </c>
      <c r="D285" t="s">
        <v>38</v>
      </c>
      <c r="E285" t="s">
        <v>148</v>
      </c>
      <c r="F285" t="str">
        <f>TEXT(Data[[#This Row],[Applied Date]],"mmmm")</f>
        <v>June</v>
      </c>
      <c r="G285" t="s">
        <v>33</v>
      </c>
      <c r="H285" t="s">
        <v>23</v>
      </c>
      <c r="I285" t="s">
        <v>24</v>
      </c>
      <c r="J285" t="s">
        <v>24</v>
      </c>
      <c r="K285" t="s">
        <v>24</v>
      </c>
      <c r="M285" t="s">
        <v>57</v>
      </c>
      <c r="N285" t="s">
        <v>42</v>
      </c>
      <c r="O285">
        <v>23</v>
      </c>
      <c r="P285">
        <v>7</v>
      </c>
      <c r="Q285">
        <v>12969000</v>
      </c>
      <c r="S285" t="s">
        <v>27</v>
      </c>
    </row>
    <row r="286" spans="1:19" x14ac:dyDescent="0.35">
      <c r="A286" t="s">
        <v>478</v>
      </c>
      <c r="B286" t="s">
        <v>44</v>
      </c>
      <c r="C286" t="s">
        <v>45</v>
      </c>
      <c r="D286" t="s">
        <v>38</v>
      </c>
      <c r="E286" t="s">
        <v>257</v>
      </c>
      <c r="F286" t="str">
        <f>TEXT(Data[[#This Row],[Applied Date]],"mmmm")</f>
        <v>February</v>
      </c>
      <c r="G286" t="s">
        <v>23</v>
      </c>
      <c r="H286" t="s">
        <v>24</v>
      </c>
      <c r="I286" t="s">
        <v>24</v>
      </c>
      <c r="J286" t="s">
        <v>24</v>
      </c>
      <c r="K286" t="s">
        <v>24</v>
      </c>
      <c r="M286" t="s">
        <v>25</v>
      </c>
      <c r="N286" t="s">
        <v>26</v>
      </c>
      <c r="O286">
        <v>32</v>
      </c>
      <c r="P286">
        <v>6</v>
      </c>
      <c r="Q286">
        <v>12985000</v>
      </c>
      <c r="S286" t="s">
        <v>27</v>
      </c>
    </row>
    <row r="287" spans="1:19" x14ac:dyDescent="0.35">
      <c r="A287" t="s">
        <v>479</v>
      </c>
      <c r="B287" t="s">
        <v>19</v>
      </c>
      <c r="C287" t="s">
        <v>20</v>
      </c>
      <c r="D287" t="s">
        <v>79</v>
      </c>
      <c r="E287" t="s">
        <v>68</v>
      </c>
      <c r="F287" t="str">
        <f>TEXT(Data[[#This Row],[Applied Date]],"mmmm")</f>
        <v>June</v>
      </c>
      <c r="G287" t="s">
        <v>33</v>
      </c>
      <c r="H287" t="s">
        <v>23</v>
      </c>
      <c r="I287" t="s">
        <v>24</v>
      </c>
      <c r="J287" t="s">
        <v>24</v>
      </c>
      <c r="K287" t="s">
        <v>24</v>
      </c>
      <c r="M287" t="s">
        <v>63</v>
      </c>
      <c r="N287" t="s">
        <v>26</v>
      </c>
      <c r="O287">
        <v>36</v>
      </c>
      <c r="P287">
        <v>8</v>
      </c>
      <c r="Q287">
        <v>15098000</v>
      </c>
      <c r="S287" t="s">
        <v>27</v>
      </c>
    </row>
    <row r="288" spans="1:19" x14ac:dyDescent="0.35">
      <c r="A288" t="s">
        <v>480</v>
      </c>
      <c r="B288" t="s">
        <v>19</v>
      </c>
      <c r="C288" t="s">
        <v>20</v>
      </c>
      <c r="D288" t="s">
        <v>31</v>
      </c>
      <c r="E288" t="s">
        <v>210</v>
      </c>
      <c r="F288" t="str">
        <f>TEXT(Data[[#This Row],[Applied Date]],"mmmm")</f>
        <v>March</v>
      </c>
      <c r="G288" t="s">
        <v>23</v>
      </c>
      <c r="H288" t="s">
        <v>24</v>
      </c>
      <c r="I288" t="s">
        <v>24</v>
      </c>
      <c r="J288" t="s">
        <v>24</v>
      </c>
      <c r="K288" t="s">
        <v>24</v>
      </c>
      <c r="M288" t="s">
        <v>34</v>
      </c>
      <c r="N288" t="s">
        <v>42</v>
      </c>
      <c r="O288">
        <v>24</v>
      </c>
      <c r="P288">
        <v>5</v>
      </c>
      <c r="Q288">
        <v>10735000</v>
      </c>
      <c r="S288" t="s">
        <v>27</v>
      </c>
    </row>
    <row r="289" spans="1:19" x14ac:dyDescent="0.35">
      <c r="A289" t="s">
        <v>481</v>
      </c>
      <c r="B289" t="s">
        <v>49</v>
      </c>
      <c r="C289" t="s">
        <v>50</v>
      </c>
      <c r="D289" t="s">
        <v>46</v>
      </c>
      <c r="E289" t="s">
        <v>482</v>
      </c>
      <c r="F289" t="str">
        <f>TEXT(Data[[#This Row],[Applied Date]],"mmmm")</f>
        <v>May</v>
      </c>
      <c r="G289" t="s">
        <v>33</v>
      </c>
      <c r="H289" t="s">
        <v>23</v>
      </c>
      <c r="I289" t="s">
        <v>24</v>
      </c>
      <c r="J289" t="s">
        <v>24</v>
      </c>
      <c r="K289" t="s">
        <v>24</v>
      </c>
      <c r="M289" t="s">
        <v>41</v>
      </c>
      <c r="N289" t="s">
        <v>42</v>
      </c>
      <c r="O289">
        <v>33</v>
      </c>
      <c r="P289">
        <v>7</v>
      </c>
      <c r="Q289">
        <v>13571000</v>
      </c>
      <c r="S289" t="s">
        <v>27</v>
      </c>
    </row>
    <row r="290" spans="1:19" x14ac:dyDescent="0.35">
      <c r="A290" t="s">
        <v>483</v>
      </c>
      <c r="B290" t="s">
        <v>72</v>
      </c>
      <c r="C290" t="s">
        <v>37</v>
      </c>
      <c r="D290" t="s">
        <v>31</v>
      </c>
      <c r="E290" t="s">
        <v>484</v>
      </c>
      <c r="F290" t="str">
        <f>TEXT(Data[[#This Row],[Applied Date]],"mmmm")</f>
        <v>February</v>
      </c>
      <c r="G290" t="s">
        <v>23</v>
      </c>
      <c r="H290" t="s">
        <v>24</v>
      </c>
      <c r="I290" t="s">
        <v>24</v>
      </c>
      <c r="J290" t="s">
        <v>24</v>
      </c>
      <c r="K290" t="s">
        <v>24</v>
      </c>
      <c r="M290" t="s">
        <v>25</v>
      </c>
      <c r="N290" t="s">
        <v>42</v>
      </c>
      <c r="O290">
        <v>22</v>
      </c>
      <c r="P290">
        <v>1</v>
      </c>
      <c r="Q290">
        <v>6701000</v>
      </c>
      <c r="S290" t="s">
        <v>27</v>
      </c>
    </row>
    <row r="291" spans="1:19" x14ac:dyDescent="0.35">
      <c r="A291" t="s">
        <v>485</v>
      </c>
      <c r="B291" t="s">
        <v>49</v>
      </c>
      <c r="C291" t="s">
        <v>50</v>
      </c>
      <c r="D291" t="s">
        <v>31</v>
      </c>
      <c r="E291" t="s">
        <v>486</v>
      </c>
      <c r="F291" t="str">
        <f>TEXT(Data[[#This Row],[Applied Date]],"mmmm")</f>
        <v>February</v>
      </c>
      <c r="G291" t="s">
        <v>33</v>
      </c>
      <c r="H291" t="s">
        <v>33</v>
      </c>
      <c r="I291" t="s">
        <v>23</v>
      </c>
      <c r="J291" t="s">
        <v>24</v>
      </c>
      <c r="K291" t="s">
        <v>24</v>
      </c>
      <c r="M291" t="s">
        <v>34</v>
      </c>
      <c r="N291" t="s">
        <v>26</v>
      </c>
      <c r="O291">
        <v>30</v>
      </c>
      <c r="P291">
        <v>8</v>
      </c>
      <c r="Q291">
        <v>14286000</v>
      </c>
      <c r="S291" t="s">
        <v>27</v>
      </c>
    </row>
    <row r="292" spans="1:19" x14ac:dyDescent="0.35">
      <c r="A292" t="s">
        <v>487</v>
      </c>
      <c r="B292" t="s">
        <v>19</v>
      </c>
      <c r="C292" t="s">
        <v>20</v>
      </c>
      <c r="D292" t="s">
        <v>79</v>
      </c>
      <c r="E292" t="s">
        <v>393</v>
      </c>
      <c r="F292" t="str">
        <f>TEXT(Data[[#This Row],[Applied Date]],"mmmm")</f>
        <v>March</v>
      </c>
      <c r="G292" t="s">
        <v>33</v>
      </c>
      <c r="H292" t="s">
        <v>33</v>
      </c>
      <c r="I292" t="s">
        <v>33</v>
      </c>
      <c r="J292" t="s">
        <v>40</v>
      </c>
      <c r="K292" t="s">
        <v>40</v>
      </c>
      <c r="L292">
        <v>26</v>
      </c>
      <c r="M292" t="s">
        <v>34</v>
      </c>
      <c r="N292" t="s">
        <v>42</v>
      </c>
      <c r="O292">
        <v>30</v>
      </c>
      <c r="P292">
        <v>7</v>
      </c>
      <c r="Q292">
        <v>13624000</v>
      </c>
      <c r="R292">
        <v>13155000</v>
      </c>
      <c r="S292" t="s">
        <v>9</v>
      </c>
    </row>
    <row r="293" spans="1:19" x14ac:dyDescent="0.35">
      <c r="A293" t="s">
        <v>488</v>
      </c>
      <c r="B293" t="s">
        <v>82</v>
      </c>
      <c r="C293" t="s">
        <v>83</v>
      </c>
      <c r="D293" t="s">
        <v>79</v>
      </c>
      <c r="E293" t="s">
        <v>103</v>
      </c>
      <c r="F293" t="str">
        <f>TEXT(Data[[#This Row],[Applied Date]],"mmmm")</f>
        <v>May</v>
      </c>
      <c r="G293" t="s">
        <v>33</v>
      </c>
      <c r="H293" t="s">
        <v>33</v>
      </c>
      <c r="I293" t="s">
        <v>33</v>
      </c>
      <c r="J293" t="s">
        <v>40</v>
      </c>
      <c r="K293" t="s">
        <v>40</v>
      </c>
      <c r="L293">
        <v>26</v>
      </c>
      <c r="M293" t="s">
        <v>57</v>
      </c>
      <c r="N293" t="s">
        <v>26</v>
      </c>
      <c r="O293">
        <v>37</v>
      </c>
      <c r="P293">
        <v>3</v>
      </c>
      <c r="Q293">
        <v>8736000</v>
      </c>
      <c r="R293">
        <v>8403000</v>
      </c>
      <c r="S293" t="s">
        <v>9</v>
      </c>
    </row>
    <row r="294" spans="1:19" x14ac:dyDescent="0.35">
      <c r="A294" t="s">
        <v>489</v>
      </c>
      <c r="B294" t="s">
        <v>72</v>
      </c>
      <c r="C294" t="s">
        <v>37</v>
      </c>
      <c r="D294" t="s">
        <v>46</v>
      </c>
      <c r="E294" t="s">
        <v>304</v>
      </c>
      <c r="F294" t="str">
        <f>TEXT(Data[[#This Row],[Applied Date]],"mmmm")</f>
        <v>February</v>
      </c>
      <c r="G294" t="s">
        <v>33</v>
      </c>
      <c r="H294" t="s">
        <v>33</v>
      </c>
      <c r="I294" t="s">
        <v>23</v>
      </c>
      <c r="J294" t="s">
        <v>24</v>
      </c>
      <c r="K294" t="s">
        <v>24</v>
      </c>
      <c r="M294" t="s">
        <v>34</v>
      </c>
      <c r="N294" t="s">
        <v>42</v>
      </c>
      <c r="O294">
        <v>24</v>
      </c>
      <c r="P294">
        <v>5</v>
      </c>
      <c r="Q294">
        <v>10748000</v>
      </c>
      <c r="S294" t="s">
        <v>27</v>
      </c>
    </row>
    <row r="295" spans="1:19" x14ac:dyDescent="0.35">
      <c r="A295" t="s">
        <v>490</v>
      </c>
      <c r="B295" t="s">
        <v>82</v>
      </c>
      <c r="C295" t="s">
        <v>83</v>
      </c>
      <c r="D295" t="s">
        <v>38</v>
      </c>
      <c r="E295" t="s">
        <v>133</v>
      </c>
      <c r="F295" t="str">
        <f>TEXT(Data[[#This Row],[Applied Date]],"mmmm")</f>
        <v>June</v>
      </c>
      <c r="G295" t="s">
        <v>33</v>
      </c>
      <c r="H295" t="s">
        <v>23</v>
      </c>
      <c r="I295" t="s">
        <v>24</v>
      </c>
      <c r="J295" t="s">
        <v>24</v>
      </c>
      <c r="K295" t="s">
        <v>24</v>
      </c>
      <c r="M295" t="s">
        <v>41</v>
      </c>
      <c r="N295" t="s">
        <v>26</v>
      </c>
      <c r="O295">
        <v>23</v>
      </c>
      <c r="P295">
        <v>7</v>
      </c>
      <c r="Q295">
        <v>13204000</v>
      </c>
      <c r="S295" t="s">
        <v>27</v>
      </c>
    </row>
    <row r="296" spans="1:19" x14ac:dyDescent="0.35">
      <c r="A296" t="s">
        <v>491</v>
      </c>
      <c r="B296" t="s">
        <v>29</v>
      </c>
      <c r="C296" t="s">
        <v>30</v>
      </c>
      <c r="D296" t="s">
        <v>38</v>
      </c>
      <c r="E296" t="s">
        <v>457</v>
      </c>
      <c r="F296" t="str">
        <f>TEXT(Data[[#This Row],[Applied Date]],"mmmm")</f>
        <v>April</v>
      </c>
      <c r="G296" t="s">
        <v>33</v>
      </c>
      <c r="H296" t="s">
        <v>33</v>
      </c>
      <c r="I296" t="s">
        <v>33</v>
      </c>
      <c r="J296" t="s">
        <v>40</v>
      </c>
      <c r="K296" t="s">
        <v>62</v>
      </c>
      <c r="L296">
        <v>30</v>
      </c>
      <c r="M296" t="s">
        <v>63</v>
      </c>
      <c r="N296" t="s">
        <v>42</v>
      </c>
      <c r="O296">
        <v>39</v>
      </c>
      <c r="P296">
        <v>1</v>
      </c>
      <c r="Q296">
        <v>6765000</v>
      </c>
      <c r="S296" t="s">
        <v>64</v>
      </c>
    </row>
    <row r="297" spans="1:19" x14ac:dyDescent="0.35">
      <c r="A297" t="s">
        <v>492</v>
      </c>
      <c r="B297" t="s">
        <v>49</v>
      </c>
      <c r="C297" t="s">
        <v>50</v>
      </c>
      <c r="D297" t="s">
        <v>38</v>
      </c>
      <c r="E297" t="s">
        <v>292</v>
      </c>
      <c r="F297" t="str">
        <f>TEXT(Data[[#This Row],[Applied Date]],"mmmm")</f>
        <v>March</v>
      </c>
      <c r="G297" t="s">
        <v>33</v>
      </c>
      <c r="H297" t="s">
        <v>33</v>
      </c>
      <c r="I297" t="s">
        <v>33</v>
      </c>
      <c r="J297" t="s">
        <v>40</v>
      </c>
      <c r="K297" t="s">
        <v>40</v>
      </c>
      <c r="L297">
        <v>16</v>
      </c>
      <c r="M297" t="s">
        <v>57</v>
      </c>
      <c r="N297" t="s">
        <v>26</v>
      </c>
      <c r="O297">
        <v>34</v>
      </c>
      <c r="P297">
        <v>2</v>
      </c>
      <c r="Q297">
        <v>8165000</v>
      </c>
      <c r="R297">
        <v>7902000</v>
      </c>
      <c r="S297" t="s">
        <v>9</v>
      </c>
    </row>
    <row r="298" spans="1:19" x14ac:dyDescent="0.35">
      <c r="A298" t="s">
        <v>493</v>
      </c>
      <c r="B298" t="s">
        <v>44</v>
      </c>
      <c r="C298" t="s">
        <v>45</v>
      </c>
      <c r="D298" t="s">
        <v>51</v>
      </c>
      <c r="E298" t="s">
        <v>148</v>
      </c>
      <c r="F298" t="str">
        <f>TEXT(Data[[#This Row],[Applied Date]],"mmmm")</f>
        <v>June</v>
      </c>
      <c r="G298" t="s">
        <v>33</v>
      </c>
      <c r="H298" t="s">
        <v>33</v>
      </c>
      <c r="I298" t="s">
        <v>33</v>
      </c>
      <c r="J298" t="s">
        <v>40</v>
      </c>
      <c r="K298" t="s">
        <v>40</v>
      </c>
      <c r="L298">
        <v>26</v>
      </c>
      <c r="M298" t="s">
        <v>63</v>
      </c>
      <c r="N298" t="s">
        <v>42</v>
      </c>
      <c r="O298">
        <v>21</v>
      </c>
      <c r="P298">
        <v>10</v>
      </c>
      <c r="Q298">
        <v>16533000</v>
      </c>
      <c r="R298">
        <v>16206000</v>
      </c>
      <c r="S298" t="s">
        <v>9</v>
      </c>
    </row>
    <row r="299" spans="1:19" x14ac:dyDescent="0.35">
      <c r="A299" t="s">
        <v>494</v>
      </c>
      <c r="B299" t="s">
        <v>66</v>
      </c>
      <c r="C299" t="s">
        <v>67</v>
      </c>
      <c r="D299" t="s">
        <v>21</v>
      </c>
      <c r="E299" t="s">
        <v>342</v>
      </c>
      <c r="F299" t="str">
        <f>TEXT(Data[[#This Row],[Applied Date]],"mmmm")</f>
        <v>January</v>
      </c>
      <c r="G299" t="s">
        <v>33</v>
      </c>
      <c r="H299" t="s">
        <v>33</v>
      </c>
      <c r="I299" t="s">
        <v>33</v>
      </c>
      <c r="J299" t="s">
        <v>40</v>
      </c>
      <c r="K299" t="s">
        <v>40</v>
      </c>
      <c r="L299">
        <v>32</v>
      </c>
      <c r="M299" t="s">
        <v>41</v>
      </c>
      <c r="N299" t="s">
        <v>42</v>
      </c>
      <c r="O299">
        <v>23</v>
      </c>
      <c r="P299">
        <v>9</v>
      </c>
      <c r="Q299">
        <v>15941000</v>
      </c>
      <c r="R299">
        <v>15784000</v>
      </c>
      <c r="S299" t="s">
        <v>9</v>
      </c>
    </row>
    <row r="300" spans="1:19" x14ac:dyDescent="0.35">
      <c r="A300" t="s">
        <v>495</v>
      </c>
      <c r="B300" t="s">
        <v>49</v>
      </c>
      <c r="C300" t="s">
        <v>50</v>
      </c>
      <c r="D300" t="s">
        <v>21</v>
      </c>
      <c r="E300" t="s">
        <v>496</v>
      </c>
      <c r="F300" t="str">
        <f>TEXT(Data[[#This Row],[Applied Date]],"mmmm")</f>
        <v>March</v>
      </c>
      <c r="G300" t="s">
        <v>33</v>
      </c>
      <c r="H300" t="s">
        <v>33</v>
      </c>
      <c r="I300" t="s">
        <v>33</v>
      </c>
      <c r="J300" t="s">
        <v>40</v>
      </c>
      <c r="K300" t="s">
        <v>40</v>
      </c>
      <c r="L300">
        <v>30</v>
      </c>
      <c r="M300" t="s">
        <v>63</v>
      </c>
      <c r="N300" t="s">
        <v>42</v>
      </c>
      <c r="O300">
        <v>39</v>
      </c>
      <c r="P300">
        <v>6</v>
      </c>
      <c r="Q300">
        <v>12272000</v>
      </c>
      <c r="R300">
        <v>11941000</v>
      </c>
      <c r="S300" t="s">
        <v>9</v>
      </c>
    </row>
    <row r="301" spans="1:19" x14ac:dyDescent="0.35">
      <c r="A301" t="s">
        <v>497</v>
      </c>
      <c r="B301" t="s">
        <v>29</v>
      </c>
      <c r="C301" t="s">
        <v>30</v>
      </c>
      <c r="D301" t="s">
        <v>21</v>
      </c>
      <c r="E301" t="s">
        <v>498</v>
      </c>
      <c r="F301" t="str">
        <f>TEXT(Data[[#This Row],[Applied Date]],"mmmm")</f>
        <v>March</v>
      </c>
      <c r="G301" t="s">
        <v>23</v>
      </c>
      <c r="H301" t="s">
        <v>24</v>
      </c>
      <c r="I301" t="s">
        <v>24</v>
      </c>
      <c r="J301" t="s">
        <v>24</v>
      </c>
      <c r="K301" t="s">
        <v>24</v>
      </c>
      <c r="M301" t="s">
        <v>34</v>
      </c>
      <c r="N301" t="s">
        <v>42</v>
      </c>
      <c r="O301">
        <v>33</v>
      </c>
      <c r="P301">
        <v>6</v>
      </c>
      <c r="Q301">
        <v>11901000</v>
      </c>
      <c r="S301" t="s">
        <v>27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683AA-57AF-4680-B8B8-719C3D7A1A71}">
  <dimension ref="A1:AD39"/>
  <sheetViews>
    <sheetView showGridLines="0" showRowColHeaders="0" tabSelected="1" zoomScale="66" zoomScaleNormal="57" workbookViewId="0">
      <selection activeCell="J6" sqref="J6"/>
    </sheetView>
  </sheetViews>
  <sheetFormatPr defaultColWidth="0" defaultRowHeight="14.5" zeroHeight="1" x14ac:dyDescent="0.35"/>
  <cols>
    <col min="1" max="30" width="8.7265625" customWidth="1"/>
    <col min="31" max="16384" width="8.7265625" hidden="1"/>
  </cols>
  <sheetData>
    <row r="1" spans="1:30" x14ac:dyDescent="0.35">
      <c r="A1" s="17" t="s">
        <v>508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spans="1:30" x14ac:dyDescent="0.3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spans="1:30" x14ac:dyDescent="0.3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</row>
    <row r="4" spans="1:30" ht="10.5" customHeight="1" x14ac:dyDescent="0.35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spans="1:30" ht="30.5" customHeight="1" x14ac:dyDescent="0.7">
      <c r="A5" s="9"/>
      <c r="B5" s="9"/>
      <c r="C5" s="9"/>
      <c r="D5" s="9"/>
      <c r="E5" s="9"/>
      <c r="F5" s="9"/>
      <c r="G5" s="9"/>
      <c r="H5" s="9"/>
      <c r="I5" s="9"/>
      <c r="J5" s="9"/>
      <c r="K5" s="19" t="s">
        <v>37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9"/>
      <c r="W5" s="9"/>
      <c r="X5" s="9"/>
      <c r="Y5" s="9"/>
      <c r="Z5" s="9"/>
      <c r="AA5" s="9"/>
      <c r="AB5" s="9"/>
      <c r="AC5" s="9"/>
      <c r="AD5" s="9"/>
    </row>
    <row r="6" spans="1:30" ht="30.5" customHeight="1" x14ac:dyDescent="0.7">
      <c r="A6" s="9"/>
      <c r="B6" s="9"/>
      <c r="C6" s="9"/>
      <c r="D6" s="9"/>
      <c r="E6" s="9"/>
      <c r="F6" s="9"/>
      <c r="G6" s="9"/>
      <c r="H6" s="9"/>
      <c r="I6" s="9"/>
      <c r="J6" s="9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9"/>
      <c r="W6" s="9"/>
      <c r="X6" s="9"/>
      <c r="Y6" s="9"/>
      <c r="Z6" s="9"/>
      <c r="AA6" s="9"/>
      <c r="AB6" s="9"/>
      <c r="AC6" s="9"/>
      <c r="AD6" s="9"/>
    </row>
    <row r="7" spans="1:30" x14ac:dyDescent="0.35"/>
    <row r="8" spans="1:30" x14ac:dyDescent="0.35"/>
    <row r="9" spans="1:30" x14ac:dyDescent="0.35"/>
    <row r="10" spans="1:30" x14ac:dyDescent="0.35"/>
    <row r="11" spans="1:30" x14ac:dyDescent="0.35"/>
    <row r="12" spans="1:30" x14ac:dyDescent="0.35"/>
    <row r="13" spans="1:30" x14ac:dyDescent="0.35"/>
    <row r="14" spans="1:30" x14ac:dyDescent="0.35"/>
    <row r="15" spans="1:30" x14ac:dyDescent="0.35"/>
    <row r="16" spans="1:30" x14ac:dyDescent="0.35"/>
    <row r="17" spans="27:27" x14ac:dyDescent="0.35">
      <c r="AA17" s="16"/>
    </row>
    <row r="18" spans="27:27" x14ac:dyDescent="0.35"/>
    <row r="19" spans="27:27" x14ac:dyDescent="0.35"/>
    <row r="20" spans="27:27" x14ac:dyDescent="0.35"/>
    <row r="21" spans="27:27" x14ac:dyDescent="0.35"/>
    <row r="22" spans="27:27" x14ac:dyDescent="0.35"/>
    <row r="23" spans="27:27" x14ac:dyDescent="0.35"/>
    <row r="24" spans="27:27" x14ac:dyDescent="0.35"/>
    <row r="25" spans="27:27" x14ac:dyDescent="0.35"/>
    <row r="26" spans="27:27" x14ac:dyDescent="0.35"/>
    <row r="27" spans="27:27" x14ac:dyDescent="0.35"/>
    <row r="28" spans="27:27" x14ac:dyDescent="0.35"/>
    <row r="29" spans="27:27" x14ac:dyDescent="0.35"/>
    <row r="30" spans="27:27" x14ac:dyDescent="0.35"/>
    <row r="31" spans="27:27" x14ac:dyDescent="0.35"/>
    <row r="32" spans="27:27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</sheetData>
  <mergeCells count="2">
    <mergeCell ref="A1:AD4"/>
    <mergeCell ref="K5:U5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CA102F6-BB63-4B47-AB31-E3AB1BA4BCD7}">
          <x14:formula1>
            <xm:f>Validation!$A$28:$A$34</xm:f>
          </x14:formula1>
          <xm:sqref>K5:U6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B1476-2D06-4D42-8267-714E50FF8810}">
  <dimension ref="A1:S45"/>
  <sheetViews>
    <sheetView topLeftCell="A2" zoomScale="68" workbookViewId="0">
      <selection activeCell="K11" sqref="K11"/>
    </sheetView>
  </sheetViews>
  <sheetFormatPr defaultRowHeight="14.5" x14ac:dyDescent="0.35"/>
  <cols>
    <col min="1" max="1" width="19.6328125" bestFit="1" customWidth="1"/>
    <col min="2" max="2" width="14.1796875" bestFit="1" customWidth="1"/>
    <col min="3" max="3" width="17.453125" bestFit="1" customWidth="1"/>
    <col min="4" max="4" width="17.26953125" bestFit="1" customWidth="1"/>
    <col min="5" max="6" width="15.90625" bestFit="1" customWidth="1"/>
    <col min="8" max="8" width="17.453125" bestFit="1" customWidth="1"/>
    <col min="9" max="9" width="19" bestFit="1" customWidth="1"/>
    <col min="11" max="11" width="16.26953125" bestFit="1" customWidth="1"/>
    <col min="18" max="18" width="11.08984375" bestFit="1" customWidth="1"/>
    <col min="19" max="19" width="10" bestFit="1" customWidth="1"/>
  </cols>
  <sheetData>
    <row r="1" spans="1:12" x14ac:dyDescent="0.35">
      <c r="A1" s="2" t="s">
        <v>499</v>
      </c>
      <c r="B1" s="2" t="s">
        <v>500</v>
      </c>
    </row>
    <row r="2" spans="1:12" x14ac:dyDescent="0.35">
      <c r="A2" s="3" t="s">
        <v>5</v>
      </c>
      <c r="B2" s="3">
        <f>COUNTIF(Data[Screening],"Pass")</f>
        <v>232</v>
      </c>
      <c r="C2" s="3">
        <f>COUNTIFS(Data[Screening],"Pass",Data[Department],Dept)</f>
        <v>56</v>
      </c>
    </row>
    <row r="3" spans="1:12" x14ac:dyDescent="0.35">
      <c r="A3" s="3" t="s">
        <v>6</v>
      </c>
      <c r="B3" s="3">
        <f>COUNTIF(Data[Interview 1],"Pass")</f>
        <v>167</v>
      </c>
      <c r="C3" s="3">
        <f>COUNTIFS(Data[Interview 1],"Pass",Data[Department],Dept)</f>
        <v>37</v>
      </c>
    </row>
    <row r="4" spans="1:12" x14ac:dyDescent="0.35">
      <c r="A4" s="3" t="s">
        <v>7</v>
      </c>
      <c r="B4" s="3">
        <f>COUNTIF(Data[Interview 2],"Pass")</f>
        <v>135</v>
      </c>
      <c r="C4" s="3">
        <f>COUNTIFS(Data[Interview 2],"Pass",Data[Department],Dept)</f>
        <v>31</v>
      </c>
    </row>
    <row r="5" spans="1:12" x14ac:dyDescent="0.35">
      <c r="A5" s="3" t="s">
        <v>8</v>
      </c>
      <c r="B5" s="3">
        <f>COUNTIF(Data[Offer],"Yes")</f>
        <v>135</v>
      </c>
      <c r="C5" s="3">
        <f>COUNTIFS(Data[Offer],"Yes",Data[Department],Dept)</f>
        <v>31</v>
      </c>
    </row>
    <row r="6" spans="1:12" x14ac:dyDescent="0.35">
      <c r="A6" s="3" t="s">
        <v>9</v>
      </c>
      <c r="B6" s="3">
        <f>COUNTIF(Data[Hired],"Yes")</f>
        <v>120</v>
      </c>
      <c r="C6" s="3">
        <f>COUNTIFS(Data[Hired],"Yes",Data[Department],Dept)</f>
        <v>26</v>
      </c>
    </row>
    <row r="9" spans="1:12" x14ac:dyDescent="0.35">
      <c r="A9" t="s">
        <v>501</v>
      </c>
      <c r="B9" t="s">
        <v>500</v>
      </c>
      <c r="D9" s="2" t="s">
        <v>501</v>
      </c>
      <c r="E9" s="2"/>
      <c r="H9" s="1" t="s">
        <v>501</v>
      </c>
      <c r="I9" s="1" t="s">
        <v>500</v>
      </c>
    </row>
    <row r="10" spans="1:12" x14ac:dyDescent="0.35">
      <c r="A10" t="str" cm="1">
        <f t="array" ref="A10:A15">_xlfn.UNIQUE(Data[Source])</f>
        <v>Glints</v>
      </c>
      <c r="B10">
        <f>COUNTIF(Data[Source],A10)</f>
        <v>48</v>
      </c>
      <c r="C10">
        <f>COUNTIFS(Data[Source],A10,Data[Department],Dept)</f>
        <v>9</v>
      </c>
      <c r="D10" s="3" t="str" cm="1">
        <f t="array" ref="D10:E15">_xlfn._xlws.SORT(A10:B15,2,-1)</f>
        <v>Company Website</v>
      </c>
      <c r="E10" s="3">
        <v>58</v>
      </c>
      <c r="H10" t="str" cm="1">
        <f t="array" ref="H10:H15">_xlfn.UNIQUE(Data[Source])</f>
        <v>Glints</v>
      </c>
      <c r="I10">
        <f>COUNTIFS(Data[Source],H10,Data[Department],Dept)</f>
        <v>9</v>
      </c>
      <c r="K10" t="str" cm="1">
        <f t="array" ref="K10:L15">_xlfn._xlws.SORT(H10:I15,2,1)</f>
        <v>Glints</v>
      </c>
      <c r="L10">
        <v>9</v>
      </c>
    </row>
    <row r="11" spans="1:12" x14ac:dyDescent="0.35">
      <c r="A11" t="str">
        <v>Company Website</v>
      </c>
      <c r="B11">
        <f>COUNTIF(Data[Source],A11)</f>
        <v>58</v>
      </c>
      <c r="C11">
        <f>COUNTIFS(Data[Source],A11,Data[Department],Dept)</f>
        <v>19</v>
      </c>
      <c r="D11" s="3" t="str">
        <v>JobStreet</v>
      </c>
      <c r="E11" s="3">
        <v>56</v>
      </c>
      <c r="H11" t="str">
        <v>Company Website</v>
      </c>
      <c r="I11">
        <f>COUNTIFS(Data[Source],H11,Data[Department],Dept)</f>
        <v>19</v>
      </c>
      <c r="K11" t="str">
        <v>Career Fair</v>
      </c>
      <c r="L11">
        <v>10</v>
      </c>
    </row>
    <row r="12" spans="1:12" x14ac:dyDescent="0.35">
      <c r="A12" t="str">
        <v>JobStreet</v>
      </c>
      <c r="B12">
        <f>COUNTIF(Data[Source],A12)</f>
        <v>56</v>
      </c>
      <c r="C12">
        <f>COUNTIFS(Data[Source],A12,Data[Department],Dept)</f>
        <v>13</v>
      </c>
      <c r="D12" s="3" t="str">
        <v>Referral</v>
      </c>
      <c r="E12" s="3">
        <v>51</v>
      </c>
      <c r="H12" t="str">
        <v>JobStreet</v>
      </c>
      <c r="I12">
        <f>COUNTIFS(Data[Source],H12,Data[Department],Dept)</f>
        <v>13</v>
      </c>
      <c r="K12" t="str">
        <v>LinkedIn</v>
      </c>
      <c r="L12">
        <v>10</v>
      </c>
    </row>
    <row r="13" spans="1:12" x14ac:dyDescent="0.35">
      <c r="A13" t="str">
        <v>Career Fair</v>
      </c>
      <c r="B13">
        <f>COUNTIF(Data[Source],A13)</f>
        <v>44</v>
      </c>
      <c r="C13">
        <f>COUNTIFS(Data[Source],A13,Data[Department],Dept)</f>
        <v>10</v>
      </c>
      <c r="D13" s="3" t="str">
        <v>Glints</v>
      </c>
      <c r="E13" s="3">
        <v>48</v>
      </c>
      <c r="H13" t="str">
        <v>Career Fair</v>
      </c>
      <c r="I13">
        <f>COUNTIFS(Data[Source],H13,Data[Department],Dept)</f>
        <v>10</v>
      </c>
      <c r="K13" t="str">
        <v>Referral</v>
      </c>
      <c r="L13">
        <v>11</v>
      </c>
    </row>
    <row r="14" spans="1:12" x14ac:dyDescent="0.35">
      <c r="A14" t="str">
        <v>Referral</v>
      </c>
      <c r="B14">
        <f>COUNTIF(Data[Source],A14)</f>
        <v>51</v>
      </c>
      <c r="C14">
        <f>COUNTIFS(Data[Source],A14,Data[Department],Dept)</f>
        <v>11</v>
      </c>
      <c r="D14" s="3" t="str">
        <v>Career Fair</v>
      </c>
      <c r="E14" s="3">
        <v>44</v>
      </c>
      <c r="H14" t="str">
        <v>Referral</v>
      </c>
      <c r="I14">
        <f>COUNTIFS(Data[Source],H14,Data[Department],Dept)</f>
        <v>11</v>
      </c>
      <c r="K14" t="str">
        <v>JobStreet</v>
      </c>
      <c r="L14">
        <v>13</v>
      </c>
    </row>
    <row r="15" spans="1:12" x14ac:dyDescent="0.35">
      <c r="A15" t="str">
        <v>LinkedIn</v>
      </c>
      <c r="B15">
        <f>COUNTIF(Data[Source],A15)</f>
        <v>43</v>
      </c>
      <c r="C15">
        <f>COUNTIFS(Data[Source],A15,Data[Department],Dept)</f>
        <v>10</v>
      </c>
      <c r="D15" s="3" t="str">
        <v>LinkedIn</v>
      </c>
      <c r="E15" s="3">
        <v>43</v>
      </c>
      <c r="H15" t="str">
        <v>LinkedIn</v>
      </c>
      <c r="I15">
        <f>COUNTIFS(Data[Source],H15,Data[Department],Dept)</f>
        <v>10</v>
      </c>
      <c r="K15" t="str">
        <v>Company Website</v>
      </c>
      <c r="L15">
        <v>19</v>
      </c>
    </row>
    <row r="18" spans="1:19" x14ac:dyDescent="0.35">
      <c r="A18" s="2" t="s">
        <v>4</v>
      </c>
      <c r="B18" s="2" t="s">
        <v>9</v>
      </c>
      <c r="C18" s="2" t="s">
        <v>10</v>
      </c>
      <c r="D18" s="13" t="s">
        <v>509</v>
      </c>
      <c r="F18" s="2" t="s">
        <v>4</v>
      </c>
      <c r="G18" s="2" t="s">
        <v>9</v>
      </c>
      <c r="H18" s="2" t="s">
        <v>10</v>
      </c>
      <c r="I18" s="2" t="s">
        <v>509</v>
      </c>
    </row>
    <row r="19" spans="1:19" x14ac:dyDescent="0.35">
      <c r="A19" s="3" t="str" cm="1">
        <f t="array" ref="A19:A24">_xlfn.UNIQUE(TEXT(Data[Applied Date],"mmmm"))</f>
        <v>January</v>
      </c>
      <c r="B19" s="3">
        <f>COUNTIFS(Data[Applied Month],A19,Data[Hired],"Yes")</f>
        <v>15</v>
      </c>
      <c r="C19" s="5">
        <f>AVERAGEIF(Data[Applied Month],A19,Data[Days to Hire])</f>
        <v>25.2</v>
      </c>
      <c r="D19" s="12">
        <f>AVERAGEIFS(Data[Days to Hire],Data[Applied Month],A19,Data[Department],Dept)</f>
        <v>22.75</v>
      </c>
      <c r="F19" s="3" t="s">
        <v>510</v>
      </c>
      <c r="G19" s="3">
        <f>COUNTIFS(Data[Applied Month],F19,Data[Hired],"Yes")</f>
        <v>15</v>
      </c>
      <c r="H19" s="5">
        <f>AVERAGEIF(Data[Applied Month],F19,Data[Days to Hire])</f>
        <v>25.2</v>
      </c>
      <c r="I19" s="5">
        <f>AVERAGEIFS(Data[Days to Hire],Data[Applied Month],F19,Data[Department],Dept)</f>
        <v>22.75</v>
      </c>
    </row>
    <row r="20" spans="1:19" x14ac:dyDescent="0.35">
      <c r="A20" s="3" t="str">
        <v>May</v>
      </c>
      <c r="B20" s="3">
        <f>COUNTIFS(Data[Applied Month],A20,Data[Hired],"Yes")</f>
        <v>32</v>
      </c>
      <c r="C20" s="5">
        <f>AVERAGEIF(Data[Applied Month],A20,Data[Days to Hire])</f>
        <v>22.972222222222221</v>
      </c>
      <c r="D20" s="12">
        <f>AVERAGEIFS(Data[Days to Hire],Data[Applied Month],A20,Data[Department],Dept)</f>
        <v>24.777777777777779</v>
      </c>
      <c r="F20" s="3" t="s">
        <v>515</v>
      </c>
      <c r="G20" s="3">
        <f>COUNTIFS(Data[Applied Month],F20,Data[Hired],"Yes")</f>
        <v>17</v>
      </c>
      <c r="H20" s="5">
        <f>AVERAGEIF(Data[Applied Month],F20,Data[Days to Hire])</f>
        <v>23.789473684210527</v>
      </c>
      <c r="I20" s="5">
        <f>AVERAGEIFS(Data[Days to Hire],Data[Applied Month],F20,Data[Department],Dept)</f>
        <v>21.333333333333332</v>
      </c>
    </row>
    <row r="21" spans="1:19" x14ac:dyDescent="0.35">
      <c r="A21" s="3" t="str">
        <v>April</v>
      </c>
      <c r="B21" s="3">
        <f>COUNTIFS(Data[Applied Month],A21,Data[Hired],"Yes")</f>
        <v>17</v>
      </c>
      <c r="C21" s="5">
        <f>AVERAGEIF(Data[Applied Month],A21,Data[Days to Hire])</f>
        <v>23</v>
      </c>
      <c r="D21" s="12">
        <f>AVERAGEIFS(Data[Days to Hire],Data[Applied Month],A21,Data[Department],Dept)</f>
        <v>25.6</v>
      </c>
      <c r="F21" s="3" t="s">
        <v>511</v>
      </c>
      <c r="G21" s="3">
        <f>COUNTIFS(Data[Applied Month],F21,Data[Hired],"Yes")</f>
        <v>24</v>
      </c>
      <c r="H21" s="5">
        <f>AVERAGEIF(Data[Applied Month],F21,Data[Days to Hire])</f>
        <v>21.807692307692307</v>
      </c>
      <c r="I21" s="5">
        <f>AVERAGEIFS(Data[Days to Hire],Data[Applied Month],F21,Data[Department],Dept)</f>
        <v>19</v>
      </c>
    </row>
    <row r="22" spans="1:19" x14ac:dyDescent="0.35">
      <c r="A22" s="3" t="str">
        <v>June</v>
      </c>
      <c r="B22" s="3">
        <f>COUNTIFS(Data[Applied Month],A22,Data[Hired],"Yes")</f>
        <v>15</v>
      </c>
      <c r="C22" s="5">
        <f>AVERAGEIF(Data[Applied Month],A22,Data[Days to Hire])</f>
        <v>20.65</v>
      </c>
      <c r="D22" s="12">
        <f>AVERAGEIFS(Data[Days to Hire],Data[Applied Month],A22,Data[Department],Dept)</f>
        <v>25.25</v>
      </c>
      <c r="F22" s="3" t="s">
        <v>512</v>
      </c>
      <c r="G22" s="3">
        <f>COUNTIFS(Data[Applied Month],F22,Data[Hired],"Yes")</f>
        <v>17</v>
      </c>
      <c r="H22" s="5">
        <f>AVERAGEIF(Data[Applied Month],F22,Data[Days to Hire])</f>
        <v>23</v>
      </c>
      <c r="I22" s="5">
        <f>AVERAGEIFS(Data[Days to Hire],Data[Applied Month],F22,Data[Department],Dept)</f>
        <v>25.6</v>
      </c>
    </row>
    <row r="23" spans="1:19" x14ac:dyDescent="0.35">
      <c r="A23" s="3" t="str">
        <v>February</v>
      </c>
      <c r="B23" s="3">
        <f>COUNTIFS(Data[Applied Month],A23,Data[Hired],"Yes")</f>
        <v>17</v>
      </c>
      <c r="C23" s="5">
        <f>AVERAGEIF(Data[Applied Month],A23,Data[Days to Hire])</f>
        <v>23.789473684210527</v>
      </c>
      <c r="D23" s="12">
        <f>AVERAGEIFS(Data[Days to Hire],Data[Applied Month],A23,Data[Department],Dept)</f>
        <v>21.333333333333332</v>
      </c>
      <c r="F23" s="3" t="s">
        <v>513</v>
      </c>
      <c r="G23" s="3">
        <f>COUNTIFS(Data[Applied Month],F23,Data[Hired],"Yes")</f>
        <v>32</v>
      </c>
      <c r="H23" s="5">
        <f>AVERAGEIF(Data[Applied Month],F23,Data[Days to Hire])</f>
        <v>22.972222222222221</v>
      </c>
      <c r="I23" s="5">
        <f>AVERAGEIFS(Data[Days to Hire],Data[Applied Month],F23,Data[Department],Dept)</f>
        <v>24.777777777777779</v>
      </c>
    </row>
    <row r="24" spans="1:19" x14ac:dyDescent="0.35">
      <c r="A24" s="3" t="str">
        <v>March</v>
      </c>
      <c r="B24" s="3">
        <f>COUNTIFS(Data[Applied Month],A24,Data[Hired],"Yes")</f>
        <v>24</v>
      </c>
      <c r="C24" s="5">
        <f>AVERAGEIF(Data[Applied Month],A24,Data[Days to Hire])</f>
        <v>21.807692307692307</v>
      </c>
      <c r="D24" s="12">
        <f>AVERAGEIFS(Data[Days to Hire],Data[Applied Month],A24,Data[Department],Dept)</f>
        <v>19</v>
      </c>
      <c r="F24" s="3" t="s">
        <v>514</v>
      </c>
      <c r="G24" s="3">
        <f>COUNTIFS(Data[Applied Month],F24,Data[Hired],"Yes")</f>
        <v>15</v>
      </c>
      <c r="H24" s="5">
        <f>AVERAGEIF(Data[Applied Month],F24,Data[Days to Hire])</f>
        <v>20.65</v>
      </c>
      <c r="I24" s="5">
        <f>AVERAGEIFS(Data[Days to Hire],Data[Applied Month],F24,Data[Department],Dept)</f>
        <v>25.25</v>
      </c>
    </row>
    <row r="27" spans="1:19" x14ac:dyDescent="0.35">
      <c r="A27" s="4" t="s">
        <v>2</v>
      </c>
      <c r="B27" s="4" t="s">
        <v>503</v>
      </c>
      <c r="C27" s="4" t="s">
        <v>506</v>
      </c>
      <c r="D27" s="4" t="s">
        <v>507</v>
      </c>
      <c r="E27" s="4" t="s">
        <v>15</v>
      </c>
      <c r="F27" s="4" t="s">
        <v>16</v>
      </c>
      <c r="H27" s="4" t="s">
        <v>2</v>
      </c>
      <c r="I27" s="4" t="s">
        <v>503</v>
      </c>
    </row>
    <row r="28" spans="1:19" x14ac:dyDescent="0.35">
      <c r="A28" s="3" t="str" cm="1">
        <f t="array" ref="A28:A34">_xlfn.UNIQUE(Data[Department])</f>
        <v>Finance</v>
      </c>
      <c r="B28" s="3">
        <f>COUNTIFS(Data[Department],A28,Data[Hired],"Yes")</f>
        <v>13</v>
      </c>
      <c r="C28" s="3">
        <f>COUNTIF(Data[Department],A28)</f>
        <v>32</v>
      </c>
      <c r="D28" s="7">
        <f>B28/C28</f>
        <v>0.40625</v>
      </c>
      <c r="E28" s="8">
        <f>AVERAGEIF(Data[Department],A28,Data[Expected Salary])</f>
        <v>11457875</v>
      </c>
      <c r="F28" s="8">
        <f>AVERAGEIF(Data[Department],A28,Data[Offered Salary])</f>
        <v>11999230.76923077</v>
      </c>
      <c r="H28" s="3" t="str" cm="1">
        <f t="array" ref="H28:H34">_xlfn.UNIQUE(Data[Department])</f>
        <v>Finance</v>
      </c>
      <c r="I28" s="3">
        <f>COUNTIFS(Data[Department],H28,Data[Hired],"Yes")</f>
        <v>13</v>
      </c>
      <c r="J28" t="e">
        <f t="shared" ref="J28:J34" si="0">IF(H28=Dept,I28,NA())</f>
        <v>#N/A</v>
      </c>
      <c r="K28">
        <f t="shared" ref="K28:K34" si="1">IF(H28&lt;&gt;Dept,I28,NA())</f>
        <v>13</v>
      </c>
      <c r="M28" t="str" cm="1">
        <f t="array" ref="M28:P34">_xlfn._xlws.SORT(H28:K34,2,-1)</f>
        <v>IT</v>
      </c>
      <c r="N28">
        <v>26</v>
      </c>
      <c r="O28">
        <v>26</v>
      </c>
      <c r="P28" t="e">
        <v>#N/A</v>
      </c>
      <c r="R28" s="1"/>
      <c r="S28" s="1"/>
    </row>
    <row r="29" spans="1:19" x14ac:dyDescent="0.35">
      <c r="A29" s="3" t="str">
        <v>Operations</v>
      </c>
      <c r="B29" s="3">
        <f>COUNTIFS(Data[Department],A29,Data[Hired],"Yes")</f>
        <v>16</v>
      </c>
      <c r="C29" s="3">
        <f>COUNTIF(Data[Department],A29)</f>
        <v>47</v>
      </c>
      <c r="D29" s="7">
        <f t="shared" ref="D29:D34" si="2">B29/C29</f>
        <v>0.34042553191489361</v>
      </c>
      <c r="E29" s="8">
        <f>AVERAGEIF(Data[Department],A29,Data[Expected Salary])</f>
        <v>10956212.765957447</v>
      </c>
      <c r="F29" s="8">
        <f>AVERAGEIF(Data[Department],A29,Data[Offered Salary])</f>
        <v>11671875</v>
      </c>
      <c r="H29" s="3" t="str">
        <v>Operations</v>
      </c>
      <c r="I29" s="3">
        <f>COUNTIFS(Data[Department],H29,Data[Hired],"Yes")</f>
        <v>16</v>
      </c>
      <c r="J29" t="e">
        <f t="shared" si="0"/>
        <v>#N/A</v>
      </c>
      <c r="K29">
        <f t="shared" si="1"/>
        <v>16</v>
      </c>
      <c r="M29" t="str">
        <v>Marketing</v>
      </c>
      <c r="N29">
        <v>21</v>
      </c>
      <c r="O29" t="e">
        <v>#N/A</v>
      </c>
      <c r="P29">
        <v>21</v>
      </c>
      <c r="S29" s="10"/>
    </row>
    <row r="30" spans="1:19" x14ac:dyDescent="0.35">
      <c r="A30" s="3" t="str">
        <v>IT</v>
      </c>
      <c r="B30" s="3">
        <f>COUNTIFS(Data[Department],A30,Data[Hired],"Yes")</f>
        <v>26</v>
      </c>
      <c r="C30" s="3">
        <f>COUNTIF(Data[Department],A30)</f>
        <v>72</v>
      </c>
      <c r="D30" s="7">
        <f t="shared" si="2"/>
        <v>0.3611111111111111</v>
      </c>
      <c r="E30" s="8">
        <f>AVERAGEIF(Data[Department],A30,Data[Expected Salary])</f>
        <v>11141013.888888888</v>
      </c>
      <c r="F30" s="8">
        <f>AVERAGEIF(Data[Department],A30,Data[Offered Salary])</f>
        <v>11002461.538461538</v>
      </c>
      <c r="H30" s="3" t="str">
        <v>IT</v>
      </c>
      <c r="I30" s="3">
        <f>COUNTIFS(Data[Department],H30,Data[Hired],"Yes")</f>
        <v>26</v>
      </c>
      <c r="J30">
        <f t="shared" si="0"/>
        <v>26</v>
      </c>
      <c r="K30" t="e">
        <f t="shared" si="1"/>
        <v>#N/A</v>
      </c>
      <c r="M30" t="str">
        <v>Product</v>
      </c>
      <c r="N30">
        <v>19</v>
      </c>
      <c r="O30" t="e">
        <v>#N/A</v>
      </c>
      <c r="P30">
        <v>19</v>
      </c>
      <c r="S30" s="10"/>
    </row>
    <row r="31" spans="1:19" x14ac:dyDescent="0.35">
      <c r="A31" s="3" t="str">
        <v>Product</v>
      </c>
      <c r="B31" s="3">
        <f>COUNTIFS(Data[Department],A31,Data[Hired],"Yes")</f>
        <v>19</v>
      </c>
      <c r="C31" s="3">
        <f>COUNTIF(Data[Department],A31)</f>
        <v>44</v>
      </c>
      <c r="D31" s="7">
        <f t="shared" si="2"/>
        <v>0.43181818181818182</v>
      </c>
      <c r="E31" s="8">
        <f>AVERAGEIF(Data[Department],A31,Data[Expected Salary])</f>
        <v>11629386.363636363</v>
      </c>
      <c r="F31" s="8">
        <f>AVERAGEIF(Data[Department],A31,Data[Offered Salary])</f>
        <v>10846578.947368421</v>
      </c>
      <c r="H31" s="3" t="str">
        <v>Product</v>
      </c>
      <c r="I31" s="3">
        <f>COUNTIFS(Data[Department],H31,Data[Hired],"Yes")</f>
        <v>19</v>
      </c>
      <c r="J31" t="e">
        <f t="shared" si="0"/>
        <v>#N/A</v>
      </c>
      <c r="K31">
        <f t="shared" si="1"/>
        <v>19</v>
      </c>
      <c r="M31" t="str">
        <v>Operations</v>
      </c>
      <c r="N31">
        <v>16</v>
      </c>
      <c r="O31" t="e">
        <v>#N/A</v>
      </c>
      <c r="P31">
        <v>16</v>
      </c>
      <c r="S31" s="10"/>
    </row>
    <row r="32" spans="1:19" x14ac:dyDescent="0.35">
      <c r="A32" s="3" t="str">
        <v>Sales</v>
      </c>
      <c r="B32" s="3">
        <f>COUNTIFS(Data[Department],A32,Data[Hired],"Yes")</f>
        <v>13</v>
      </c>
      <c r="C32" s="3">
        <f>COUNTIF(Data[Department],A32)</f>
        <v>31</v>
      </c>
      <c r="D32" s="7">
        <f t="shared" si="2"/>
        <v>0.41935483870967744</v>
      </c>
      <c r="E32" s="8">
        <f>AVERAGEIF(Data[Department],A32,Data[Expected Salary])</f>
        <v>10572516.129032258</v>
      </c>
      <c r="F32" s="8">
        <f>AVERAGEIF(Data[Department],A32,Data[Offered Salary])</f>
        <v>8729000</v>
      </c>
      <c r="H32" s="3" t="str">
        <v>Sales</v>
      </c>
      <c r="I32" s="3">
        <f>COUNTIFS(Data[Department],H32,Data[Hired],"Yes")</f>
        <v>13</v>
      </c>
      <c r="J32" t="e">
        <f t="shared" si="0"/>
        <v>#N/A</v>
      </c>
      <c r="K32">
        <f t="shared" si="1"/>
        <v>13</v>
      </c>
      <c r="M32" t="str">
        <v>Finance</v>
      </c>
      <c r="N32">
        <v>13</v>
      </c>
      <c r="O32" t="e">
        <v>#N/A</v>
      </c>
      <c r="P32">
        <v>13</v>
      </c>
      <c r="S32" s="10"/>
    </row>
    <row r="33" spans="1:19" x14ac:dyDescent="0.35">
      <c r="A33" s="3" t="str">
        <v>HR</v>
      </c>
      <c r="B33" s="3">
        <f>COUNTIFS(Data[Department],A33,Data[Hired],"Yes")</f>
        <v>12</v>
      </c>
      <c r="C33" s="3">
        <f>COUNTIF(Data[Department],A33)</f>
        <v>34</v>
      </c>
      <c r="D33" s="7">
        <f t="shared" si="2"/>
        <v>0.35294117647058826</v>
      </c>
      <c r="E33" s="8">
        <f>AVERAGEIF(Data[Department],A33,Data[Expected Salary])</f>
        <v>11817705.882352941</v>
      </c>
      <c r="F33" s="8">
        <f>AVERAGEIF(Data[Department],A33,Data[Offered Salary])</f>
        <v>12274250</v>
      </c>
      <c r="H33" s="3" t="str">
        <v>HR</v>
      </c>
      <c r="I33" s="3">
        <f>COUNTIFS(Data[Department],H33,Data[Hired],"Yes")</f>
        <v>12</v>
      </c>
      <c r="J33" t="e">
        <f t="shared" si="0"/>
        <v>#N/A</v>
      </c>
      <c r="K33">
        <f t="shared" si="1"/>
        <v>12</v>
      </c>
      <c r="M33" t="str">
        <v>Sales</v>
      </c>
      <c r="N33">
        <v>13</v>
      </c>
      <c r="O33" t="e">
        <v>#N/A</v>
      </c>
      <c r="P33">
        <v>13</v>
      </c>
      <c r="S33" s="10"/>
    </row>
    <row r="34" spans="1:19" x14ac:dyDescent="0.35">
      <c r="A34" s="3" t="str">
        <v>Marketing</v>
      </c>
      <c r="B34" s="3">
        <f>COUNTIFS(Data[Department],A34,Data[Hired],"Yes")</f>
        <v>21</v>
      </c>
      <c r="C34" s="3">
        <f>COUNTIF(Data[Department],A34)</f>
        <v>40</v>
      </c>
      <c r="D34" s="7">
        <f t="shared" si="2"/>
        <v>0.52500000000000002</v>
      </c>
      <c r="E34" s="8">
        <f>AVERAGEIF(Data[Department],A34,Data[Expected Salary])</f>
        <v>11082850</v>
      </c>
      <c r="F34" s="8">
        <f>AVERAGEIF(Data[Department],A34,Data[Offered Salary])</f>
        <v>10379619.047619049</v>
      </c>
      <c r="H34" s="3" t="str">
        <v>Marketing</v>
      </c>
      <c r="I34" s="3">
        <f>COUNTIFS(Data[Department],H34,Data[Hired],"Yes")</f>
        <v>21</v>
      </c>
      <c r="J34" t="e">
        <f t="shared" si="0"/>
        <v>#N/A</v>
      </c>
      <c r="K34">
        <f t="shared" si="1"/>
        <v>21</v>
      </c>
      <c r="M34" t="str">
        <v>HR</v>
      </c>
      <c r="N34">
        <v>12</v>
      </c>
      <c r="O34" t="e">
        <v>#N/A</v>
      </c>
      <c r="P34">
        <v>12</v>
      </c>
      <c r="S34" s="10"/>
    </row>
    <row r="35" spans="1:19" x14ac:dyDescent="0.35">
      <c r="D35" s="11" cm="1">
        <f t="array" ref="D35">_xlfn.XLOOKUP(Dept,_xlfn.ANCHORARRAY(A28),D28:D34)</f>
        <v>0.3611111111111111</v>
      </c>
      <c r="E35" s="15" cm="1">
        <f t="array" ref="E35">_xlfn.XLOOKUP(Dept,_xlfn.ANCHORARRAY(A28),E28:E34)</f>
        <v>11141013.888888888</v>
      </c>
      <c r="F35" s="15" cm="1">
        <f t="array" ref="F35">_xlfn.XLOOKUP(Dept,_xlfn.ANCHORARRAY(A28),F28:F34)</f>
        <v>11002461.538461538</v>
      </c>
      <c r="S35" s="10"/>
    </row>
    <row r="37" spans="1:19" x14ac:dyDescent="0.35">
      <c r="A37" s="4" t="s">
        <v>504</v>
      </c>
      <c r="B37" s="4" t="s">
        <v>500</v>
      </c>
    </row>
    <row r="38" spans="1:19" x14ac:dyDescent="0.35">
      <c r="A38" s="3" t="str" cm="1">
        <f t="array" ref="A38:A39">_xlfn.UNIQUE(Data[Gender])</f>
        <v>Female</v>
      </c>
      <c r="B38" s="3">
        <f>COUNTIF(Data[Gender],A38)</f>
        <v>143</v>
      </c>
      <c r="C38">
        <f>COUNTIFS(Data[Gender],A38,Data[Hired],"Yes",Data[Department],Dept)</f>
        <v>13</v>
      </c>
    </row>
    <row r="39" spans="1:19" x14ac:dyDescent="0.35">
      <c r="A39" s="3" t="str">
        <v>Male</v>
      </c>
      <c r="B39" s="3">
        <f>COUNTIF(Data[Gender],A39)</f>
        <v>157</v>
      </c>
      <c r="C39">
        <f>COUNTIFS(Data[Gender],A39,Data[Hired],"Yes",Data[Department],Dept)</f>
        <v>13</v>
      </c>
    </row>
    <row r="42" spans="1:19" x14ac:dyDescent="0.35">
      <c r="A42" s="1" t="s">
        <v>505</v>
      </c>
      <c r="B42" s="6">
        <f>COUNTIF(Data[Status],"Hired")/COUNTIF(Data[Offer],"Yes")</f>
        <v>0.88888888888888884</v>
      </c>
      <c r="C42" s="6">
        <f>COUNTIFS(Data[Status],"Hired",Data[Department],Dept)/COUNTIFS(Data[Offer],"Yes",Data[Department],Dept)</f>
        <v>0.83870967741935487</v>
      </c>
    </row>
    <row r="43" spans="1:19" x14ac:dyDescent="0.35">
      <c r="A43" t="s">
        <v>8</v>
      </c>
      <c r="B43">
        <f>COUNTIF(Data[Offer],"Yes")</f>
        <v>135</v>
      </c>
    </row>
    <row r="44" spans="1:19" x14ac:dyDescent="0.35">
      <c r="A44" t="s">
        <v>9</v>
      </c>
      <c r="B44">
        <f>COUNTIF(Data[Status],"Hired")</f>
        <v>120</v>
      </c>
    </row>
    <row r="45" spans="1:19" x14ac:dyDescent="0.35">
      <c r="A45" t="s">
        <v>64</v>
      </c>
      <c r="B45">
        <f>COUNTIF(Data[Status],"Offer Declined")</f>
        <v>15</v>
      </c>
    </row>
  </sheetData>
  <pageMargins left="0.7" right="0.7" top="0.75" bottom="0.75" header="0.3" footer="0.3"/>
  <ignoredErrors>
    <ignoredError sqref="B43 C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Recruitment Data</vt:lpstr>
      <vt:lpstr>Dashboard - Drillthrough</vt:lpstr>
      <vt:lpstr>Validation</vt:lpstr>
      <vt:lpstr>Acceptance_dept</vt:lpstr>
      <vt:lpstr>Dept</vt:lpstr>
      <vt:lpstr>Expected_salary</vt:lpstr>
      <vt:lpstr>Hiring_rate</vt:lpstr>
      <vt:lpstr>Offered_salary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rumaisya milhan</cp:lastModifiedBy>
  <dcterms:created xsi:type="dcterms:W3CDTF">2026-07-25T03:29:43Z</dcterms:created>
  <dcterms:modified xsi:type="dcterms:W3CDTF">2026-08-02T06:49:39Z</dcterms:modified>
</cp:coreProperties>
</file>