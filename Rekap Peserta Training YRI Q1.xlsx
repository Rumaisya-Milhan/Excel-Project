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0c249928619d1b36/Pictures/Documents/Project/Data Analysis/Excel/"/>
    </mc:Choice>
  </mc:AlternateContent>
  <xr:revisionPtr revIDLastSave="20" documentId="8_{3D9D257B-C298-40FF-B8B1-87EDECDD4557}" xr6:coauthVersionLast="47" xr6:coauthVersionMax="47" xr10:uidLastSave="{1838FC35-E70B-4982-9916-2A5EC8BD1730}"/>
  <bookViews>
    <workbookView xWindow="-110" yWindow="-110" windowWidth="19420" windowHeight="10300" xr2:uid="{4862735A-7ADF-4BD1-9206-18253418F3BF}"/>
  </bookViews>
  <sheets>
    <sheet name="Dashboard" sheetId="5" r:id="rId1"/>
    <sheet name="Sheet4" sheetId="4" state="hidden" r:id="rId2"/>
    <sheet name="Rekap + Chart" sheetId="2" r:id="rId3"/>
    <sheet name="Data" sheetId="1" r:id="rId4"/>
  </sheets>
  <definedNames>
    <definedName name="_xlnm.Print_Area" localSheetId="0">Dashboard!$A$1:$S$22</definedName>
    <definedName name="Slicer_Asal">#N/A</definedName>
    <definedName name="Slicer_Bulan">#N/A</definedName>
    <definedName name="Slicer_Departeme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7" i="4" l="1"/>
  <c r="B16" i="4"/>
  <c r="I14" i="4"/>
  <c r="I15" i="4"/>
  <c r="I13" i="4"/>
  <c r="H14" i="4"/>
  <c r="H15" i="4"/>
  <c r="H13" i="4"/>
  <c r="E14" i="4"/>
  <c r="E15" i="4"/>
  <c r="E16" i="4"/>
  <c r="E17" i="4"/>
  <c r="E18" i="4"/>
  <c r="E19" i="4"/>
  <c r="E20" i="4"/>
  <c r="E13" i="4"/>
  <c r="D14" i="4"/>
  <c r="D15" i="4"/>
  <c r="D16" i="4"/>
  <c r="D17" i="4"/>
  <c r="D18" i="4"/>
  <c r="D19" i="4"/>
  <c r="D20" i="4"/>
  <c r="D13" i="4"/>
  <c r="K3" i="4"/>
  <c r="H3" i="4"/>
  <c r="A16" i="4" a="1"/>
  <c r="A12" i="4" a="1"/>
  <c r="D3" i="4"/>
  <c r="S4" i="4"/>
  <c r="S5" i="4"/>
  <c r="S6" i="4"/>
  <c r="S7" i="4"/>
  <c r="S8" i="4"/>
  <c r="S9" i="4"/>
  <c r="S10" i="4"/>
  <c r="R4" i="4"/>
  <c r="R5" i="4"/>
  <c r="R6" i="4"/>
  <c r="R7" i="4"/>
  <c r="R8" i="4"/>
  <c r="R9" i="4"/>
  <c r="R10" i="4"/>
  <c r="Q4" i="4"/>
  <c r="Q5" i="4"/>
  <c r="Q6" i="4"/>
  <c r="Q7" i="4"/>
  <c r="Q8" i="4"/>
  <c r="Q9" i="4"/>
  <c r="Q10" i="4"/>
  <c r="S3" i="4"/>
  <c r="R3" i="4"/>
  <c r="Q3" i="4"/>
  <c r="T9" i="4"/>
  <c r="T7" i="4"/>
  <c r="T6" i="4"/>
  <c r="T5" i="4"/>
  <c r="T4" i="4"/>
  <c r="M4" i="4"/>
  <c r="M5" i="4"/>
  <c r="M6" i="4"/>
  <c r="M7" i="4"/>
  <c r="M8" i="4"/>
  <c r="M9" i="4"/>
  <c r="M10" i="4"/>
  <c r="L4" i="4"/>
  <c r="L5" i="4"/>
  <c r="L6" i="4"/>
  <c r="L7" i="4"/>
  <c r="L8" i="4"/>
  <c r="L9" i="4"/>
  <c r="L10" i="4"/>
  <c r="K4" i="4"/>
  <c r="K5" i="4"/>
  <c r="K6" i="4"/>
  <c r="K7" i="4"/>
  <c r="K8" i="4"/>
  <c r="K9" i="4"/>
  <c r="K10" i="4"/>
  <c r="M3" i="4"/>
  <c r="L3" i="4"/>
  <c r="N9" i="4"/>
  <c r="N8" i="4"/>
  <c r="N7" i="4"/>
  <c r="N6" i="4"/>
  <c r="N5" i="4"/>
  <c r="N4" i="4"/>
  <c r="F10" i="4"/>
  <c r="E10" i="4"/>
  <c r="F9" i="4"/>
  <c r="E9" i="4"/>
  <c r="F8" i="4"/>
  <c r="E8" i="4"/>
  <c r="F7" i="4"/>
  <c r="E7" i="4"/>
  <c r="F6" i="4"/>
  <c r="E6" i="4"/>
  <c r="F5" i="4"/>
  <c r="E5" i="4"/>
  <c r="F4" i="4"/>
  <c r="E4" i="4"/>
  <c r="D10" i="4"/>
  <c r="G10" i="4" s="1"/>
  <c r="D9" i="4"/>
  <c r="G9" i="4" s="1"/>
  <c r="D8" i="4"/>
  <c r="G8" i="4" s="1"/>
  <c r="D7" i="4"/>
  <c r="G7" i="4" s="1"/>
  <c r="D6" i="4"/>
  <c r="G6" i="4" s="1"/>
  <c r="D5" i="4"/>
  <c r="G5" i="4" s="1"/>
  <c r="D4" i="4"/>
  <c r="G4" i="4" s="1"/>
  <c r="F3" i="4"/>
  <c r="E3" i="4"/>
  <c r="G3" i="4" s="1"/>
  <c r="G11" i="4" s="1"/>
  <c r="A3" i="4" a="1"/>
  <c r="T8" i="4" l="1"/>
  <c r="T10" i="4"/>
  <c r="T3" i="4"/>
  <c r="N10" i="4"/>
  <c r="N3" i="4"/>
  <c r="N11" i="4" s="1"/>
  <c r="T11"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<sst xmlns="http://schemas.openxmlformats.org/spreadsheetml/2006/main" count="1747" uniqueCount="28">
  <si>
    <t>Departemen</t>
  </si>
  <si>
    <t>Bulan</t>
  </si>
  <si>
    <t>Nama</t>
  </si>
  <si>
    <t>Asal</t>
  </si>
  <si>
    <t>HR</t>
  </si>
  <si>
    <t>Maret</t>
  </si>
  <si>
    <t>Impactman</t>
  </si>
  <si>
    <t>Rangers</t>
  </si>
  <si>
    <t>Mei</t>
  </si>
  <si>
    <t>Juni</t>
  </si>
  <si>
    <t>Operation</t>
  </si>
  <si>
    <t>Project</t>
  </si>
  <si>
    <t>Finance</t>
  </si>
  <si>
    <t>Administration</t>
  </si>
  <si>
    <t>Public Relations</t>
  </si>
  <si>
    <t>Creative</t>
  </si>
  <si>
    <t>Technology</t>
  </si>
  <si>
    <t>xxx</t>
  </si>
  <si>
    <t>Grand Total</t>
  </si>
  <si>
    <t>Jumlah Peserta</t>
  </si>
  <si>
    <t/>
  </si>
  <si>
    <t>Peserta Training Total</t>
  </si>
  <si>
    <t>Total</t>
  </si>
  <si>
    <t>Peserta Training Impactman</t>
  </si>
  <si>
    <t>Peserta Training Rangers</t>
  </si>
  <si>
    <t>lookup</t>
  </si>
  <si>
    <t>Persentase Peserta</t>
  </si>
  <si>
    <r>
      <rPr>
        <b/>
        <sz val="20"/>
        <color theme="1"/>
        <rFont val="Amasis MT Pro Black"/>
        <family val="1"/>
      </rPr>
      <t>Quarter I</t>
    </r>
    <r>
      <rPr>
        <b/>
        <sz val="16"/>
        <color theme="1"/>
        <rFont val="Amasis MT Pro Black"/>
        <family val="1"/>
      </rPr>
      <t xml:space="preserve">
Youth Ranger Indonesia
</t>
    </r>
    <r>
      <rPr>
        <b/>
        <sz val="14"/>
        <color theme="1"/>
        <rFont val="Amasis MT Pro Black"/>
        <family val="1"/>
      </rPr>
      <t>Rekap Kehadiran Training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</si>
</sst>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rgb="FF000000"/>
      <name val="Aptos Narrow"/>
      <family val="2"/>
      <scheme val="minor"/>
    </font>
    <font>
      <b/>
      <sz val="11"/>
      <color theme="1"/>
      <name val="Amasis MT Pro Black"/>
      <family val="1"/>
    </font>
    <font>
      <b/>
      <sz val="14"/>
      <color theme="1"/>
      <name val="Amasis MT Pro Black"/>
      <family val="1"/>
    </font>
    <font>
      <b/>
      <sz val="14"/>
      <color rgb="FF000000"/>
      <name val="Amasis MT Pro Black"/>
      <family val="1"/>
    </font>
    <font>
      <b/>
      <sz val="16"/>
      <color theme="1"/>
      <name val="Amasis MT Pro Black"/>
      <family val="1"/>
    </font>
    <font>
      <b/>
      <sz val="16"/>
      <color theme="0"/>
      <name val="Amasis MT Pro Black"/>
      <family val="1"/>
    </font>
    <font>
      <b/>
      <sz val="16"/>
      <color theme="1"/>
      <name val="Aptos Narrow"/>
      <family val="2"/>
      <scheme val="minor"/>
    </font>
    <font>
      <b/>
      <sz val="20"/>
      <color theme="1"/>
      <name val="Amasis MT Pro Black"/>
      <family val="1"/>
    </font>
  </fonts>
  <fills count="4">
    <fill>
      <patternFill patternType="none"/>
    </fill>
    <fill>
      <patternFill patternType="gray125"/>
    </fill>
    <fill>
      <patternFill patternType="solid">
        <fgColor theme="3" tint="0.749992370372631"/>
        <bgColor indexed="64"/>
      </patternFill>
    </fill>
    <fill>
      <patternFill patternType="solid">
        <fgColor theme="3" tint="9.9978637043366805E-2"/>
        <bgColor indexed="64"/>
      </patternFill>
    </fill>
  </fills>
  <borders count="1">
    <border>
      <left/>
      <right/>
      <top/>
      <bottom/>
      <diagonal/>
    </border>
  </borders>
  <cellStyleXfs count="1">
    <xf numFmtId="0" fontId="0" fillId="0" borderId="0"/>
  </cellStyleXfs>
  <cellXfs count="20">
    <xf numFmtId="0" fontId="0" fillId="0" borderId="0" xfId="0"/>
    <xf numFmtId="0" fontId="0" fillId="0" borderId="0" xfId="0" applyAlignment="1">
      <alignment horizontal="left"/>
    </xf>
    <xf numFmtId="0" fontId="0" fillId="0" borderId="0" xfId="0" applyAlignment="1">
      <alignment horizontal="left" indent="1"/>
    </xf>
    <xf numFmtId="0" fontId="0" fillId="2" borderId="0" xfId="0" applyFill="1" applyAlignment="1">
      <alignment horizontal="center" vertical="center"/>
    </xf>
    <xf numFmtId="0" fontId="2" fillId="0" borderId="0" xfId="0" applyFont="1"/>
    <xf numFmtId="0" fontId="1" fillId="0" borderId="0" xfId="0" applyFont="1" applyAlignment="1">
      <alignment horizontal="center" vertical="center"/>
    </xf>
    <xf numFmtId="0" fontId="1" fillId="0" borderId="0" xfId="0" applyFont="1" applyAlignment="1">
      <alignment horizontal="center"/>
    </xf>
    <xf numFmtId="0" fontId="3" fillId="0" borderId="0" xfId="0" applyFont="1"/>
    <xf numFmtId="0" fontId="4" fillId="0" borderId="0" xfId="0" applyFont="1"/>
    <xf numFmtId="0" fontId="6" fillId="0" borderId="0" xfId="0" applyFont="1"/>
    <xf numFmtId="0" fontId="8" fillId="0" borderId="0" xfId="0" applyFont="1" applyAlignment="1">
      <alignment horizontal="center" vertical="center"/>
    </xf>
    <xf numFmtId="0" fontId="0" fillId="2" borderId="0" xfId="0" applyFill="1"/>
    <xf numFmtId="0" fontId="6" fillId="0" borderId="0" xfId="0" applyFont="1" applyAlignment="1">
      <alignment horizontal="center" vertical="center" wrapText="1"/>
    </xf>
    <xf numFmtId="0" fontId="8" fillId="0" borderId="0" xfId="0" applyFont="1" applyAlignment="1">
      <alignment horizontal="center" vertical="center"/>
    </xf>
    <xf numFmtId="0" fontId="7" fillId="3" borderId="0" xfId="0" applyFont="1" applyFill="1" applyAlignment="1" applyProtection="1">
      <alignment horizontal="center"/>
      <protection locked="0"/>
    </xf>
    <xf numFmtId="0" fontId="4" fillId="0" borderId="0" xfId="0" applyFont="1" applyAlignment="1">
      <alignment horizontal="center"/>
    </xf>
    <xf numFmtId="0" fontId="5" fillId="0" borderId="0" xfId="0" applyFont="1" applyAlignment="1">
      <alignment horizontal="center"/>
    </xf>
    <xf numFmtId="0" fontId="1" fillId="0" borderId="0" xfId="0" applyFont="1" applyAlignment="1">
      <alignment horizontal="center" vertical="center"/>
    </xf>
    <xf numFmtId="0" fontId="1" fillId="0" borderId="0" xfId="0" applyFont="1" applyAlignment="1">
      <alignment horizontal="center"/>
    </xf>
    <xf numFmtId="0" fontId="0" fillId="0" borderId="0" xfId="0" applyNumberFormat="1"/>
  </cellXfs>
  <cellStyles count="1">
    <cellStyle name="Normal" xfId="0" builtinId="0"/>
  </cellStyles>
  <dxfs count="17">
    <dxf>
      <font>
        <b val="0"/>
      </font>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Sheet4!$D$12</c:f>
              <c:strCache>
                <c:ptCount val="1"/>
                <c:pt idx="0">
                  <c:v>Impactman</c:v>
                </c:pt>
              </c:strCache>
            </c:strRef>
          </c:tx>
          <c:spPr>
            <a:solidFill>
              <a:schemeClr val="accent1">
                <a:shade val="76000"/>
              </a:schemeClr>
            </a:solidFill>
            <a:ln>
              <a:noFill/>
            </a:ln>
            <a:effectLst/>
          </c:spPr>
          <c:invertIfNegative val="0"/>
          <c:cat>
            <c:strRef>
              <c:f>Sheet4!$C$13:$C$20</c:f>
              <c:strCache>
                <c:ptCount val="8"/>
                <c:pt idx="0">
                  <c:v>HR</c:v>
                </c:pt>
                <c:pt idx="1">
                  <c:v>Operation</c:v>
                </c:pt>
                <c:pt idx="2">
                  <c:v>Project</c:v>
                </c:pt>
                <c:pt idx="3">
                  <c:v>Finance</c:v>
                </c:pt>
                <c:pt idx="4">
                  <c:v>Administration</c:v>
                </c:pt>
                <c:pt idx="5">
                  <c:v>Public Relations</c:v>
                </c:pt>
                <c:pt idx="6">
                  <c:v>Creative</c:v>
                </c:pt>
                <c:pt idx="7">
                  <c:v>Technology</c:v>
                </c:pt>
              </c:strCache>
            </c:strRef>
          </c:cat>
          <c:val>
            <c:numRef>
              <c:f>Sheet4!$D$13:$D$20</c:f>
              <c:numCache>
                <c:formatCode>General</c:formatCode>
                <c:ptCount val="8"/>
                <c:pt idx="0">
                  <c:v>13</c:v>
                </c:pt>
                <c:pt idx="1">
                  <c:v>6</c:v>
                </c:pt>
                <c:pt idx="2">
                  <c:v>7</c:v>
                </c:pt>
                <c:pt idx="3">
                  <c:v>8</c:v>
                </c:pt>
                <c:pt idx="4">
                  <c:v>8</c:v>
                </c:pt>
                <c:pt idx="5">
                  <c:v>16</c:v>
                </c:pt>
                <c:pt idx="6">
                  <c:v>9</c:v>
                </c:pt>
                <c:pt idx="7">
                  <c:v>3</c:v>
                </c:pt>
              </c:numCache>
            </c:numRef>
          </c:val>
          <c:extLst>
            <c:ext xmlns:c16="http://schemas.microsoft.com/office/drawing/2014/chart" uri="{C3380CC4-5D6E-409C-BE32-E72D297353CC}">
              <c16:uniqueId val="{00000000-7B47-468C-9AB9-28A8B6C369E6}"/>
            </c:ext>
          </c:extLst>
        </c:ser>
        <c:ser>
          <c:idx val="1"/>
          <c:order val="1"/>
          <c:tx>
            <c:strRef>
              <c:f>Sheet4!$E$12</c:f>
              <c:strCache>
                <c:ptCount val="1"/>
                <c:pt idx="0">
                  <c:v>Rangers</c:v>
                </c:pt>
              </c:strCache>
            </c:strRef>
          </c:tx>
          <c:spPr>
            <a:solidFill>
              <a:schemeClr val="accent1">
                <a:tint val="77000"/>
              </a:schemeClr>
            </a:solidFill>
            <a:ln>
              <a:noFill/>
            </a:ln>
            <a:effectLst/>
          </c:spPr>
          <c:invertIfNegative val="0"/>
          <c:cat>
            <c:strRef>
              <c:f>Sheet4!$C$13:$C$20</c:f>
              <c:strCache>
                <c:ptCount val="8"/>
                <c:pt idx="0">
                  <c:v>HR</c:v>
                </c:pt>
                <c:pt idx="1">
                  <c:v>Operation</c:v>
                </c:pt>
                <c:pt idx="2">
                  <c:v>Project</c:v>
                </c:pt>
                <c:pt idx="3">
                  <c:v>Finance</c:v>
                </c:pt>
                <c:pt idx="4">
                  <c:v>Administration</c:v>
                </c:pt>
                <c:pt idx="5">
                  <c:v>Public Relations</c:v>
                </c:pt>
                <c:pt idx="6">
                  <c:v>Creative</c:v>
                </c:pt>
                <c:pt idx="7">
                  <c:v>Technology</c:v>
                </c:pt>
              </c:strCache>
            </c:strRef>
          </c:cat>
          <c:val>
            <c:numRef>
              <c:f>Sheet4!$E$13:$E$20</c:f>
              <c:numCache>
                <c:formatCode>General</c:formatCode>
                <c:ptCount val="8"/>
                <c:pt idx="0">
                  <c:v>6</c:v>
                </c:pt>
                <c:pt idx="1">
                  <c:v>10</c:v>
                </c:pt>
                <c:pt idx="2">
                  <c:v>10</c:v>
                </c:pt>
                <c:pt idx="3">
                  <c:v>8</c:v>
                </c:pt>
                <c:pt idx="4">
                  <c:v>1</c:v>
                </c:pt>
                <c:pt idx="5">
                  <c:v>9</c:v>
                </c:pt>
                <c:pt idx="6">
                  <c:v>8</c:v>
                </c:pt>
                <c:pt idx="7">
                  <c:v>6</c:v>
                </c:pt>
              </c:numCache>
            </c:numRef>
          </c:val>
          <c:extLst>
            <c:ext xmlns:c16="http://schemas.microsoft.com/office/drawing/2014/chart" uri="{C3380CC4-5D6E-409C-BE32-E72D297353CC}">
              <c16:uniqueId val="{00000001-7B47-468C-9AB9-28A8B6C369E6}"/>
            </c:ext>
          </c:extLst>
        </c:ser>
        <c:dLbls>
          <c:showLegendKey val="0"/>
          <c:showVal val="0"/>
          <c:showCatName val="0"/>
          <c:showSerName val="0"/>
          <c:showPercent val="0"/>
          <c:showBubbleSize val="0"/>
        </c:dLbls>
        <c:gapWidth val="219"/>
        <c:overlap val="-27"/>
        <c:axId val="1415081951"/>
        <c:axId val="1415080991"/>
      </c:barChart>
      <c:catAx>
        <c:axId val="141508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080991"/>
        <c:crosses val="autoZero"/>
        <c:auto val="1"/>
        <c:lblAlgn val="ctr"/>
        <c:lblOffset val="100"/>
        <c:noMultiLvlLbl val="0"/>
      </c:catAx>
      <c:valAx>
        <c:axId val="14150809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50819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Sheet4!$H$12</c:f>
              <c:strCache>
                <c:ptCount val="1"/>
                <c:pt idx="0">
                  <c:v>Impactman</c:v>
                </c:pt>
              </c:strCache>
            </c:strRef>
          </c:tx>
          <c:spPr>
            <a:solidFill>
              <a:schemeClr val="accent1">
                <a:shade val="76000"/>
              </a:schemeClr>
            </a:solidFill>
            <a:ln>
              <a:noFill/>
            </a:ln>
            <a:effectLst/>
          </c:spPr>
          <c:invertIfNegative val="0"/>
          <c:cat>
            <c:strRef>
              <c:f>Sheet4!$G$13:$G$15</c:f>
              <c:strCache>
                <c:ptCount val="3"/>
                <c:pt idx="0">
                  <c:v>Maret</c:v>
                </c:pt>
                <c:pt idx="1">
                  <c:v>Mei</c:v>
                </c:pt>
                <c:pt idx="2">
                  <c:v>Juni</c:v>
                </c:pt>
              </c:strCache>
            </c:strRef>
          </c:cat>
          <c:val>
            <c:numRef>
              <c:f>Sheet4!$H$13:$H$15</c:f>
              <c:numCache>
                <c:formatCode>General</c:formatCode>
                <c:ptCount val="3"/>
                <c:pt idx="0">
                  <c:v>9</c:v>
                </c:pt>
                <c:pt idx="1">
                  <c:v>12</c:v>
                </c:pt>
                <c:pt idx="2">
                  <c:v>8</c:v>
                </c:pt>
              </c:numCache>
            </c:numRef>
          </c:val>
          <c:extLst>
            <c:ext xmlns:c16="http://schemas.microsoft.com/office/drawing/2014/chart" uri="{C3380CC4-5D6E-409C-BE32-E72D297353CC}">
              <c16:uniqueId val="{00000000-C0DC-4ACB-83D7-4BDDE9A397B3}"/>
            </c:ext>
          </c:extLst>
        </c:ser>
        <c:ser>
          <c:idx val="1"/>
          <c:order val="1"/>
          <c:tx>
            <c:strRef>
              <c:f>Sheet4!$I$12</c:f>
              <c:strCache>
                <c:ptCount val="1"/>
                <c:pt idx="0">
                  <c:v>Rangers</c:v>
                </c:pt>
              </c:strCache>
            </c:strRef>
          </c:tx>
          <c:spPr>
            <a:solidFill>
              <a:schemeClr val="accent1">
                <a:tint val="77000"/>
              </a:schemeClr>
            </a:solidFill>
            <a:ln>
              <a:noFill/>
            </a:ln>
            <a:effectLst/>
          </c:spPr>
          <c:invertIfNegative val="0"/>
          <c:cat>
            <c:strRef>
              <c:f>Sheet4!$G$13:$G$15</c:f>
              <c:strCache>
                <c:ptCount val="3"/>
                <c:pt idx="0">
                  <c:v>Maret</c:v>
                </c:pt>
                <c:pt idx="1">
                  <c:v>Mei</c:v>
                </c:pt>
                <c:pt idx="2">
                  <c:v>Juni</c:v>
                </c:pt>
              </c:strCache>
            </c:strRef>
          </c:cat>
          <c:val>
            <c:numRef>
              <c:f>Sheet4!$I$13:$I$15</c:f>
              <c:numCache>
                <c:formatCode>General</c:formatCode>
                <c:ptCount val="3"/>
                <c:pt idx="0">
                  <c:v>6</c:v>
                </c:pt>
                <c:pt idx="1">
                  <c:v>12</c:v>
                </c:pt>
                <c:pt idx="2">
                  <c:v>1</c:v>
                </c:pt>
              </c:numCache>
            </c:numRef>
          </c:val>
          <c:extLst>
            <c:ext xmlns:c16="http://schemas.microsoft.com/office/drawing/2014/chart" uri="{C3380CC4-5D6E-409C-BE32-E72D297353CC}">
              <c16:uniqueId val="{00000001-C0DC-4ACB-83D7-4BDDE9A397B3}"/>
            </c:ext>
          </c:extLst>
        </c:ser>
        <c:dLbls>
          <c:showLegendKey val="0"/>
          <c:showVal val="0"/>
          <c:showCatName val="0"/>
          <c:showSerName val="0"/>
          <c:showPercent val="0"/>
          <c:showBubbleSize val="0"/>
        </c:dLbls>
        <c:gapWidth val="219"/>
        <c:overlap val="-27"/>
        <c:axId val="1512687567"/>
        <c:axId val="1512688047"/>
      </c:barChart>
      <c:catAx>
        <c:axId val="151268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688047"/>
        <c:crosses val="autoZero"/>
        <c:auto val="1"/>
        <c:lblAlgn val="ctr"/>
        <c:lblOffset val="100"/>
        <c:noMultiLvlLbl val="0"/>
      </c:catAx>
      <c:valAx>
        <c:axId val="1512688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2687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pieChart>
        <c:varyColors val="1"/>
        <c:ser>
          <c:idx val="0"/>
          <c:order val="0"/>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AB41-42C2-890E-F4C42BB0BBAA}"/>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AB41-42C2-890E-F4C42BB0BBAA}"/>
              </c:ext>
            </c:extLst>
          </c:dPt>
          <c:dLbls>
            <c:dLbl>
              <c:idx val="0"/>
              <c:tx>
                <c:rich>
                  <a:bodyPr/>
                  <a:lstStyle/>
                  <a:p>
                    <a:fld id="{70EBA3D3-9E7D-4972-8F07-E896C6A555A8}" type="PERCENTAGE">
                      <a:rPr lang="en-US" sz="1400" b="1">
                        <a:solidFill>
                          <a:schemeClr val="bg1"/>
                        </a:solidFill>
                      </a:rPr>
                      <a:pPr/>
                      <a:t>[PERCENTAGE]</a:t>
                    </a:fld>
                    <a:endParaRPr lang="en-ID"/>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B41-42C2-890E-F4C42BB0BBAA}"/>
                </c:ext>
              </c:extLst>
            </c:dLbl>
            <c:dLbl>
              <c:idx val="1"/>
              <c:tx>
                <c:rich>
                  <a:bodyPr/>
                  <a:lstStyle/>
                  <a:p>
                    <a:fld id="{9EA3B76E-AED7-4363-AAD5-EC8C8286A77E}" type="PERCENTAGE">
                      <a:rPr lang="en-US" sz="1400" b="1">
                        <a:solidFill>
                          <a:schemeClr val="bg1"/>
                        </a:solidFill>
                      </a:rPr>
                      <a:pPr/>
                      <a:t>[PERCENTAGE]</a:t>
                    </a:fld>
                    <a:endParaRPr lang="en-ID"/>
                  </a:p>
                </c:rich>
              </c:tx>
              <c:dLblPos val="inEnd"/>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B41-42C2-890E-F4C42BB0BB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Sheet4!$A$16:$A$17</c:f>
              <c:strCache>
                <c:ptCount val="2"/>
                <c:pt idx="0">
                  <c:v>Impactman</c:v>
                </c:pt>
                <c:pt idx="1">
                  <c:v>Rangers</c:v>
                </c:pt>
              </c:strCache>
            </c:strRef>
          </c:cat>
          <c:val>
            <c:numRef>
              <c:f>Sheet4!$B$16:$B$17</c:f>
              <c:numCache>
                <c:formatCode>General</c:formatCode>
                <c:ptCount val="2"/>
                <c:pt idx="0">
                  <c:v>254</c:v>
                </c:pt>
                <c:pt idx="1">
                  <c:v>156</c:v>
                </c:pt>
              </c:numCache>
            </c:numRef>
          </c:val>
          <c:extLst>
            <c:ext xmlns:c16="http://schemas.microsoft.com/office/drawing/2014/chart" uri="{C3380CC4-5D6E-409C-BE32-E72D297353CC}">
              <c16:uniqueId val="{00000004-AB41-42C2-890E-F4C42BB0BBAA}"/>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[Rekap Peserta Training YRI Q1.xlsx]Rekap + Chart!PivotTable1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'Rekap + Chart'!$B$3:$B$4</c:f>
              <c:strCache>
                <c:ptCount val="1"/>
                <c:pt idx="0">
                  <c:v>Impactman</c:v>
                </c:pt>
              </c:strCache>
            </c:strRef>
          </c:tx>
          <c:spPr>
            <a:solidFill>
              <a:schemeClr val="accent1">
                <a:shade val="76000"/>
              </a:schemeClr>
            </a:solidFill>
            <a:ln>
              <a:noFill/>
            </a:ln>
            <a:effectLst/>
          </c:spPr>
          <c:invertIfNegative val="0"/>
          <c:cat>
            <c:multiLvlStrRef>
              <c:f>'Rekap + Chart'!$A$5:$A$37</c:f>
              <c:multiLvlStrCache>
                <c:ptCount val="24"/>
                <c:lvl>
                  <c:pt idx="0">
                    <c:v>Maret</c:v>
                  </c:pt>
                  <c:pt idx="1">
                    <c:v>Mei</c:v>
                  </c:pt>
                  <c:pt idx="2">
                    <c:v>Juni</c:v>
                  </c:pt>
                  <c:pt idx="3">
                    <c:v>Maret</c:v>
                  </c:pt>
                  <c:pt idx="4">
                    <c:v>Mei</c:v>
                  </c:pt>
                  <c:pt idx="5">
                    <c:v>Juni</c:v>
                  </c:pt>
                  <c:pt idx="6">
                    <c:v>Maret</c:v>
                  </c:pt>
                  <c:pt idx="7">
                    <c:v>Mei</c:v>
                  </c:pt>
                  <c:pt idx="8">
                    <c:v>Juni</c:v>
                  </c:pt>
                  <c:pt idx="9">
                    <c:v>Maret</c:v>
                  </c:pt>
                  <c:pt idx="10">
                    <c:v>Mei</c:v>
                  </c:pt>
                  <c:pt idx="11">
                    <c:v>Juni</c:v>
                  </c:pt>
                  <c:pt idx="12">
                    <c:v>Maret</c:v>
                  </c:pt>
                  <c:pt idx="13">
                    <c:v>Mei</c:v>
                  </c:pt>
                  <c:pt idx="14">
                    <c:v>Juni</c:v>
                  </c:pt>
                  <c:pt idx="15">
                    <c:v>Maret</c:v>
                  </c:pt>
                  <c:pt idx="16">
                    <c:v>Mei</c:v>
                  </c:pt>
                  <c:pt idx="17">
                    <c:v>Juni</c:v>
                  </c:pt>
                  <c:pt idx="18">
                    <c:v>Maret</c:v>
                  </c:pt>
                  <c:pt idx="19">
                    <c:v>Mei</c:v>
                  </c:pt>
                  <c:pt idx="20">
                    <c:v>Juni</c:v>
                  </c:pt>
                  <c:pt idx="21">
                    <c:v>Maret</c:v>
                  </c:pt>
                  <c:pt idx="22">
                    <c:v>Mei</c:v>
                  </c:pt>
                  <c:pt idx="23">
                    <c:v>Juni</c:v>
                  </c:pt>
                </c:lvl>
                <c:lvl>
                  <c:pt idx="0">
                    <c:v>Technology</c:v>
                  </c:pt>
                  <c:pt idx="3">
                    <c:v>Project</c:v>
                  </c:pt>
                  <c:pt idx="6">
                    <c:v>Administration</c:v>
                  </c:pt>
                  <c:pt idx="9">
                    <c:v>Operation</c:v>
                  </c:pt>
                  <c:pt idx="12">
                    <c:v>Finance</c:v>
                  </c:pt>
                  <c:pt idx="15">
                    <c:v>Creative</c:v>
                  </c:pt>
                  <c:pt idx="18">
                    <c:v>Public Relations</c:v>
                  </c:pt>
                  <c:pt idx="21">
                    <c:v>HR</c:v>
                  </c:pt>
                </c:lvl>
              </c:multiLvlStrCache>
            </c:multiLvlStrRef>
          </c:cat>
          <c:val>
            <c:numRef>
              <c:f>'Rekap + Chart'!$B$5:$B$37</c:f>
              <c:numCache>
                <c:formatCode>General</c:formatCode>
                <c:ptCount val="24"/>
                <c:pt idx="0">
                  <c:v>8</c:v>
                </c:pt>
                <c:pt idx="1">
                  <c:v>4</c:v>
                </c:pt>
                <c:pt idx="2">
                  <c:v>3</c:v>
                </c:pt>
                <c:pt idx="3">
                  <c:v>7</c:v>
                </c:pt>
                <c:pt idx="4">
                  <c:v>5</c:v>
                </c:pt>
                <c:pt idx="5">
                  <c:v>7</c:v>
                </c:pt>
                <c:pt idx="6">
                  <c:v>9</c:v>
                </c:pt>
                <c:pt idx="7">
                  <c:v>12</c:v>
                </c:pt>
                <c:pt idx="8">
                  <c:v>8</c:v>
                </c:pt>
                <c:pt idx="9">
                  <c:v>9</c:v>
                </c:pt>
                <c:pt idx="10">
                  <c:v>15</c:v>
                </c:pt>
                <c:pt idx="11">
                  <c:v>6</c:v>
                </c:pt>
                <c:pt idx="12">
                  <c:v>11</c:v>
                </c:pt>
                <c:pt idx="13">
                  <c:v>12</c:v>
                </c:pt>
                <c:pt idx="14">
                  <c:v>8</c:v>
                </c:pt>
                <c:pt idx="15">
                  <c:v>16</c:v>
                </c:pt>
                <c:pt idx="16">
                  <c:v>12</c:v>
                </c:pt>
                <c:pt idx="17">
                  <c:v>9</c:v>
                </c:pt>
                <c:pt idx="18">
                  <c:v>15</c:v>
                </c:pt>
                <c:pt idx="19">
                  <c:v>12</c:v>
                </c:pt>
                <c:pt idx="20">
                  <c:v>16</c:v>
                </c:pt>
                <c:pt idx="21">
                  <c:v>18</c:v>
                </c:pt>
                <c:pt idx="22">
                  <c:v>19</c:v>
                </c:pt>
                <c:pt idx="23">
                  <c:v>13</c:v>
                </c:pt>
              </c:numCache>
            </c:numRef>
          </c:val>
          <c:extLst>
            <c:ext xmlns:c16="http://schemas.microsoft.com/office/drawing/2014/chart" uri="{C3380CC4-5D6E-409C-BE32-E72D297353CC}">
              <c16:uniqueId val="{00000000-BCE1-4CD7-8A5A-30D53342D0A7}"/>
            </c:ext>
          </c:extLst>
        </c:ser>
        <c:ser>
          <c:idx val="1"/>
          <c:order val="1"/>
          <c:tx>
            <c:strRef>
              <c:f>'Rekap + Chart'!$C$3:$C$4</c:f>
              <c:strCache>
                <c:ptCount val="1"/>
                <c:pt idx="0">
                  <c:v>Rangers</c:v>
                </c:pt>
              </c:strCache>
            </c:strRef>
          </c:tx>
          <c:spPr>
            <a:solidFill>
              <a:schemeClr val="accent1">
                <a:tint val="77000"/>
              </a:schemeClr>
            </a:solidFill>
            <a:ln>
              <a:noFill/>
            </a:ln>
            <a:effectLst/>
          </c:spPr>
          <c:invertIfNegative val="0"/>
          <c:cat>
            <c:multiLvlStrRef>
              <c:f>'Rekap + Chart'!$A$5:$A$37</c:f>
              <c:multiLvlStrCache>
                <c:ptCount val="24"/>
                <c:lvl>
                  <c:pt idx="0">
                    <c:v>Maret</c:v>
                  </c:pt>
                  <c:pt idx="1">
                    <c:v>Mei</c:v>
                  </c:pt>
                  <c:pt idx="2">
                    <c:v>Juni</c:v>
                  </c:pt>
                  <c:pt idx="3">
                    <c:v>Maret</c:v>
                  </c:pt>
                  <c:pt idx="4">
                    <c:v>Mei</c:v>
                  </c:pt>
                  <c:pt idx="5">
                    <c:v>Juni</c:v>
                  </c:pt>
                  <c:pt idx="6">
                    <c:v>Maret</c:v>
                  </c:pt>
                  <c:pt idx="7">
                    <c:v>Mei</c:v>
                  </c:pt>
                  <c:pt idx="8">
                    <c:v>Juni</c:v>
                  </c:pt>
                  <c:pt idx="9">
                    <c:v>Maret</c:v>
                  </c:pt>
                  <c:pt idx="10">
                    <c:v>Mei</c:v>
                  </c:pt>
                  <c:pt idx="11">
                    <c:v>Juni</c:v>
                  </c:pt>
                  <c:pt idx="12">
                    <c:v>Maret</c:v>
                  </c:pt>
                  <c:pt idx="13">
                    <c:v>Mei</c:v>
                  </c:pt>
                  <c:pt idx="14">
                    <c:v>Juni</c:v>
                  </c:pt>
                  <c:pt idx="15">
                    <c:v>Maret</c:v>
                  </c:pt>
                  <c:pt idx="16">
                    <c:v>Mei</c:v>
                  </c:pt>
                  <c:pt idx="17">
                    <c:v>Juni</c:v>
                  </c:pt>
                  <c:pt idx="18">
                    <c:v>Maret</c:v>
                  </c:pt>
                  <c:pt idx="19">
                    <c:v>Mei</c:v>
                  </c:pt>
                  <c:pt idx="20">
                    <c:v>Juni</c:v>
                  </c:pt>
                  <c:pt idx="21">
                    <c:v>Maret</c:v>
                  </c:pt>
                  <c:pt idx="22">
                    <c:v>Mei</c:v>
                  </c:pt>
                  <c:pt idx="23">
                    <c:v>Juni</c:v>
                  </c:pt>
                </c:lvl>
                <c:lvl>
                  <c:pt idx="0">
                    <c:v>Technology</c:v>
                  </c:pt>
                  <c:pt idx="3">
                    <c:v>Project</c:v>
                  </c:pt>
                  <c:pt idx="6">
                    <c:v>Administration</c:v>
                  </c:pt>
                  <c:pt idx="9">
                    <c:v>Operation</c:v>
                  </c:pt>
                  <c:pt idx="12">
                    <c:v>Finance</c:v>
                  </c:pt>
                  <c:pt idx="15">
                    <c:v>Creative</c:v>
                  </c:pt>
                  <c:pt idx="18">
                    <c:v>Public Relations</c:v>
                  </c:pt>
                  <c:pt idx="21">
                    <c:v>HR</c:v>
                  </c:pt>
                </c:lvl>
              </c:multiLvlStrCache>
            </c:multiLvlStrRef>
          </c:cat>
          <c:val>
            <c:numRef>
              <c:f>'Rekap + Chart'!$C$5:$C$37</c:f>
              <c:numCache>
                <c:formatCode>General</c:formatCode>
                <c:ptCount val="24"/>
                <c:pt idx="0">
                  <c:v>5</c:v>
                </c:pt>
                <c:pt idx="1">
                  <c:v>11</c:v>
                </c:pt>
                <c:pt idx="2">
                  <c:v>6</c:v>
                </c:pt>
                <c:pt idx="3">
                  <c:v>2</c:v>
                </c:pt>
                <c:pt idx="4">
                  <c:v>8</c:v>
                </c:pt>
                <c:pt idx="5">
                  <c:v>10</c:v>
                </c:pt>
                <c:pt idx="6">
                  <c:v>6</c:v>
                </c:pt>
                <c:pt idx="7">
                  <c:v>12</c:v>
                </c:pt>
                <c:pt idx="8">
                  <c:v>1</c:v>
                </c:pt>
                <c:pt idx="9">
                  <c:v>3</c:v>
                </c:pt>
                <c:pt idx="10">
                  <c:v>7</c:v>
                </c:pt>
                <c:pt idx="11">
                  <c:v>10</c:v>
                </c:pt>
                <c:pt idx="12">
                  <c:v>2</c:v>
                </c:pt>
                <c:pt idx="13">
                  <c:v>14</c:v>
                </c:pt>
                <c:pt idx="14">
                  <c:v>8</c:v>
                </c:pt>
                <c:pt idx="15">
                  <c:v>6</c:v>
                </c:pt>
                <c:pt idx="16">
                  <c:v>5</c:v>
                </c:pt>
                <c:pt idx="17">
                  <c:v>8</c:v>
                </c:pt>
                <c:pt idx="18">
                  <c:v>3</c:v>
                </c:pt>
                <c:pt idx="19">
                  <c:v>4</c:v>
                </c:pt>
                <c:pt idx="20">
                  <c:v>9</c:v>
                </c:pt>
                <c:pt idx="21">
                  <c:v>2</c:v>
                </c:pt>
                <c:pt idx="22">
                  <c:v>8</c:v>
                </c:pt>
                <c:pt idx="23">
                  <c:v>6</c:v>
                </c:pt>
              </c:numCache>
            </c:numRef>
          </c:val>
          <c:extLst>
            <c:ext xmlns:c16="http://schemas.microsoft.com/office/drawing/2014/chart" uri="{C3380CC4-5D6E-409C-BE32-E72D297353CC}">
              <c16:uniqueId val="{00000001-4FD8-4917-9B18-AEFDD5EB6241}"/>
            </c:ext>
          </c:extLst>
        </c:ser>
        <c:dLbls>
          <c:showLegendKey val="0"/>
          <c:showVal val="0"/>
          <c:showCatName val="0"/>
          <c:showSerName val="0"/>
          <c:showPercent val="0"/>
          <c:showBubbleSize val="0"/>
        </c:dLbls>
        <c:gapWidth val="219"/>
        <c:overlap val="-27"/>
        <c:axId val="1149950799"/>
        <c:axId val="1149951279"/>
      </c:barChart>
      <c:catAx>
        <c:axId val="1149950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951279"/>
        <c:crosses val="autoZero"/>
        <c:auto val="1"/>
        <c:lblAlgn val="ctr"/>
        <c:lblOffset val="100"/>
        <c:noMultiLvlLbl val="0"/>
      </c:catAx>
      <c:valAx>
        <c:axId val="11499512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95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131233</xdr:rowOff>
    </xdr:from>
    <xdr:to>
      <xdr:col>5</xdr:col>
      <xdr:colOff>82550</xdr:colOff>
      <xdr:row>19</xdr:row>
      <xdr:rowOff>38100</xdr:rowOff>
    </xdr:to>
    <xdr:graphicFrame macro="">
      <xdr:nvGraphicFramePr>
        <xdr:cNvPr id="3" name="Chart 2">
          <a:extLst>
            <a:ext uri="{FF2B5EF4-FFF2-40B4-BE49-F238E27FC236}">
              <a16:creationId xmlns:a16="http://schemas.microsoft.com/office/drawing/2014/main" id="{B5F2CA21-62B7-5101-3086-EAD48494D7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330906</xdr:colOff>
      <xdr:row>7</xdr:row>
      <xdr:rowOff>124883</xdr:rowOff>
    </xdr:from>
    <xdr:to>
      <xdr:col>11</xdr:col>
      <xdr:colOff>495300</xdr:colOff>
      <xdr:row>19</xdr:row>
      <xdr:rowOff>63500</xdr:rowOff>
    </xdr:to>
    <xdr:graphicFrame macro="">
      <xdr:nvGraphicFramePr>
        <xdr:cNvPr id="4" name="Chart 3">
          <a:extLst>
            <a:ext uri="{FF2B5EF4-FFF2-40B4-BE49-F238E27FC236}">
              <a16:creationId xmlns:a16="http://schemas.microsoft.com/office/drawing/2014/main" id="{D4B58404-E3AC-68F9-D3BF-233240C35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187726</xdr:colOff>
      <xdr:row>7</xdr:row>
      <xdr:rowOff>82360</xdr:rowOff>
    </xdr:from>
    <xdr:to>
      <xdr:col>18</xdr:col>
      <xdr:colOff>542248</xdr:colOff>
      <xdr:row>19</xdr:row>
      <xdr:rowOff>35674</xdr:rowOff>
    </xdr:to>
    <xdr:graphicFrame macro="">
      <xdr:nvGraphicFramePr>
        <xdr:cNvPr id="5" name="Chart 4">
          <a:extLst>
            <a:ext uri="{FF2B5EF4-FFF2-40B4-BE49-F238E27FC236}">
              <a16:creationId xmlns:a16="http://schemas.microsoft.com/office/drawing/2014/main" id="{0BAFD2AF-392F-CB6B-40ED-409B0C7A59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595539</xdr:colOff>
      <xdr:row>18</xdr:row>
      <xdr:rowOff>3629</xdr:rowOff>
    </xdr:from>
    <xdr:to>
      <xdr:col>15</xdr:col>
      <xdr:colOff>0</xdr:colOff>
      <xdr:row>33</xdr:row>
      <xdr:rowOff>27214</xdr:rowOff>
    </xdr:to>
    <xdr:graphicFrame macro="">
      <xdr:nvGraphicFramePr>
        <xdr:cNvPr id="2" name="Chart 1">
          <a:extLst>
            <a:ext uri="{FF2B5EF4-FFF2-40B4-BE49-F238E27FC236}">
              <a16:creationId xmlns:a16="http://schemas.microsoft.com/office/drawing/2014/main" id="{DFD980EF-A699-6FAA-EB86-16C38F46B4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12700</xdr:colOff>
      <xdr:row>2</xdr:row>
      <xdr:rowOff>6350</xdr:rowOff>
    </xdr:from>
    <xdr:to>
      <xdr:col>8</xdr:col>
      <xdr:colOff>12701</xdr:colOff>
      <xdr:row>16</xdr:row>
      <xdr:rowOff>47622</xdr:rowOff>
    </xdr:to>
    <mc:AlternateContent xmlns:mc="http://schemas.openxmlformats.org/markup-compatibility/2006" xmlns:a14="http://schemas.microsoft.com/office/drawing/2010/main">
      <mc:Choice Requires="a14">
        <xdr:graphicFrame macro="">
          <xdr:nvGraphicFramePr>
            <xdr:cNvPr id="3" name="Departemen">
              <a:extLst>
                <a:ext uri="{FF2B5EF4-FFF2-40B4-BE49-F238E27FC236}">
                  <a16:creationId xmlns:a16="http://schemas.microsoft.com/office/drawing/2014/main" id="{76B6EF1F-39DB-F69D-41B6-7B3B14251A71}"/>
                </a:ext>
              </a:extLst>
            </xdr:cNvPr>
            <xdr:cNvGraphicFramePr/>
          </xdr:nvGraphicFramePr>
          <xdr:xfrm>
            <a:off x="0" y="0"/>
            <a:ext cx="0" cy="0"/>
          </xdr:xfrm>
          <a:graphic>
            <a:graphicData uri="http://schemas.microsoft.com/office/drawing/2010/slicer">
              <sle:slicer xmlns:sle="http://schemas.microsoft.com/office/drawing/2010/slicer" name="Departemen"/>
            </a:graphicData>
          </a:graphic>
        </xdr:graphicFrame>
      </mc:Choice>
      <mc:Fallback xmlns="">
        <xdr:sp macro="" textlink="">
          <xdr:nvSpPr>
            <xdr:cNvPr id="0" name=""/>
            <xdr:cNvSpPr>
              <a:spLocks noTextEdit="1"/>
            </xdr:cNvSpPr>
          </xdr:nvSpPr>
          <xdr:spPr>
            <a:xfrm>
              <a:off x="3741057" y="369207"/>
              <a:ext cx="1823357" cy="258127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xdr:row>
      <xdr:rowOff>177800</xdr:rowOff>
    </xdr:from>
    <xdr:to>
      <xdr:col>12</xdr:col>
      <xdr:colOff>1</xdr:colOff>
      <xdr:row>16</xdr:row>
      <xdr:rowOff>34922</xdr:rowOff>
    </xdr:to>
    <mc:AlternateContent xmlns:mc="http://schemas.openxmlformats.org/markup-compatibility/2006" xmlns:a14="http://schemas.microsoft.com/office/drawing/2010/main">
      <mc:Choice Requires="a14">
        <xdr:graphicFrame macro="">
          <xdr:nvGraphicFramePr>
            <xdr:cNvPr id="4" name="Bulan">
              <a:extLst>
                <a:ext uri="{FF2B5EF4-FFF2-40B4-BE49-F238E27FC236}">
                  <a16:creationId xmlns:a16="http://schemas.microsoft.com/office/drawing/2014/main" id="{3F0E18F3-077A-CC99-F8BC-0E83E6609C3F}"/>
                </a:ext>
              </a:extLst>
            </xdr:cNvPr>
            <xdr:cNvGraphicFramePr/>
          </xdr:nvGraphicFramePr>
          <xdr:xfrm>
            <a:off x="0" y="0"/>
            <a:ext cx="0" cy="0"/>
          </xdr:xfrm>
          <a:graphic>
            <a:graphicData uri="http://schemas.microsoft.com/office/drawing/2010/slicer">
              <sle:slicer xmlns:sle="http://schemas.microsoft.com/office/drawing/2010/slicer" name="Bulan"/>
            </a:graphicData>
          </a:graphic>
        </xdr:graphicFrame>
      </mc:Choice>
      <mc:Fallback xmlns="">
        <xdr:sp macro="" textlink="">
          <xdr:nvSpPr>
            <xdr:cNvPr id="0" name=""/>
            <xdr:cNvSpPr>
              <a:spLocks noTextEdit="1"/>
            </xdr:cNvSpPr>
          </xdr:nvSpPr>
          <xdr:spPr>
            <a:xfrm>
              <a:off x="6159500" y="359229"/>
              <a:ext cx="1823357" cy="25785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1</xdr:row>
      <xdr:rowOff>158750</xdr:rowOff>
    </xdr:from>
    <xdr:to>
      <xdr:col>15</xdr:col>
      <xdr:colOff>606498</xdr:colOff>
      <xdr:row>16</xdr:row>
      <xdr:rowOff>15872</xdr:rowOff>
    </xdr:to>
    <mc:AlternateContent xmlns:mc="http://schemas.openxmlformats.org/markup-compatibility/2006" xmlns:a14="http://schemas.microsoft.com/office/drawing/2010/main">
      <mc:Choice Requires="a14">
        <xdr:graphicFrame macro="">
          <xdr:nvGraphicFramePr>
            <xdr:cNvPr id="5" name="Asal">
              <a:extLst>
                <a:ext uri="{FF2B5EF4-FFF2-40B4-BE49-F238E27FC236}">
                  <a16:creationId xmlns:a16="http://schemas.microsoft.com/office/drawing/2014/main" id="{4AF6CE5B-5CD8-7E51-E43E-735E3EB7E6C9}"/>
                </a:ext>
              </a:extLst>
            </xdr:cNvPr>
            <xdr:cNvGraphicFramePr/>
          </xdr:nvGraphicFramePr>
          <xdr:xfrm>
            <a:off x="0" y="0"/>
            <a:ext cx="0" cy="0"/>
          </xdr:xfrm>
          <a:graphic>
            <a:graphicData uri="http://schemas.microsoft.com/office/drawing/2010/slicer">
              <sle:slicer xmlns:sle="http://schemas.microsoft.com/office/drawing/2010/slicer" name="Asal"/>
            </a:graphicData>
          </a:graphic>
        </xdr:graphicFrame>
      </mc:Choice>
      <mc:Fallback xmlns="">
        <xdr:sp macro="" textlink="">
          <xdr:nvSpPr>
            <xdr:cNvPr id="0" name=""/>
            <xdr:cNvSpPr>
              <a:spLocks noTextEdit="1"/>
            </xdr:cNvSpPr>
          </xdr:nvSpPr>
          <xdr:spPr>
            <a:xfrm>
              <a:off x="8590643" y="340179"/>
              <a:ext cx="1823357" cy="25785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maisya milhan" refreshedDate="46230.743903703704" createdVersion="8" refreshedVersion="8" minRefreshableVersion="3" recordCount="410" xr:uid="{770F84F7-740A-4F55-82A5-85AEF03097EC}">
  <cacheSource type="worksheet">
    <worksheetSource name="Data"/>
  </cacheSource>
  <cacheFields count="4">
    <cacheField name="Departemen" numFmtId="0">
      <sharedItems count="8">
        <s v="HR"/>
        <s v="Operation"/>
        <s v="Project"/>
        <s v="Finance"/>
        <s v="Administration"/>
        <s v="Public Relations"/>
        <s v="Creative"/>
        <s v="Technology"/>
      </sharedItems>
    </cacheField>
    <cacheField name="Bulan" numFmtId="0">
      <sharedItems count="3">
        <s v="Maret"/>
        <s v="Mei"/>
        <s v="Juni"/>
      </sharedItems>
    </cacheField>
    <cacheField name="Nama" numFmtId="0">
      <sharedItems/>
    </cacheField>
    <cacheField name="Asal" numFmtId="0">
      <sharedItems count="2">
        <s v="Impactman"/>
        <s v="Rangers"/>
      </sharedItems>
    </cacheField>
  </cacheFields>
  <extLst>
    <ext xmlns:x14="http://schemas.microsoft.com/office/spreadsheetml/2009/9/main" uri="{725AE2AE-9491-48be-B2B4-4EB974FC3084}">
      <x14:pivotCacheDefinition pivotCacheId="9586107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0">
  <r>
    <x v="0"/>
    <x v="0"/>
    <s v="xxx"/>
    <x v="0"/>
  </r>
  <r>
    <x v="0"/>
    <x v="0"/>
    <s v="xxx"/>
    <x v="0"/>
  </r>
  <r>
    <x v="0"/>
    <x v="0"/>
    <s v="xxx"/>
    <x v="0"/>
  </r>
  <r>
    <x v="0"/>
    <x v="0"/>
    <s v="xxx"/>
    <x v="0"/>
  </r>
  <r>
    <x v="0"/>
    <x v="0"/>
    <s v="xxx"/>
    <x v="0"/>
  </r>
  <r>
    <x v="0"/>
    <x v="0"/>
    <s v="xxx"/>
    <x v="0"/>
  </r>
  <r>
    <x v="0"/>
    <x v="0"/>
    <s v="xxx"/>
    <x v="0"/>
  </r>
  <r>
    <x v="0"/>
    <x v="0"/>
    <s v="xxx"/>
    <x v="0"/>
  </r>
  <r>
    <x v="0"/>
    <x v="0"/>
    <s v="xxx"/>
    <x v="1"/>
  </r>
  <r>
    <x v="0"/>
    <x v="0"/>
    <s v="xxx"/>
    <x v="0"/>
  </r>
  <r>
    <x v="0"/>
    <x v="0"/>
    <s v="xxx"/>
    <x v="0"/>
  </r>
  <r>
    <x v="0"/>
    <x v="0"/>
    <s v="xxx"/>
    <x v="0"/>
  </r>
  <r>
    <x v="0"/>
    <x v="0"/>
    <s v="xxx"/>
    <x v="0"/>
  </r>
  <r>
    <x v="0"/>
    <x v="0"/>
    <s v="xxx"/>
    <x v="0"/>
  </r>
  <r>
    <x v="0"/>
    <x v="0"/>
    <s v="xxx"/>
    <x v="0"/>
  </r>
  <r>
    <x v="0"/>
    <x v="0"/>
    <s v="xxx"/>
    <x v="0"/>
  </r>
  <r>
    <x v="0"/>
    <x v="0"/>
    <s v="xxx"/>
    <x v="0"/>
  </r>
  <r>
    <x v="0"/>
    <x v="0"/>
    <s v="xxx"/>
    <x v="1"/>
  </r>
  <r>
    <x v="0"/>
    <x v="0"/>
    <s v="xxx"/>
    <x v="0"/>
  </r>
  <r>
    <x v="0"/>
    <x v="0"/>
    <s v="xxx"/>
    <x v="0"/>
  </r>
  <r>
    <x v="0"/>
    <x v="1"/>
    <s v="xxx"/>
    <x v="0"/>
  </r>
  <r>
    <x v="0"/>
    <x v="1"/>
    <s v="xxx"/>
    <x v="1"/>
  </r>
  <r>
    <x v="0"/>
    <x v="1"/>
    <s v="xxx"/>
    <x v="0"/>
  </r>
  <r>
    <x v="0"/>
    <x v="1"/>
    <s v="xxx"/>
    <x v="1"/>
  </r>
  <r>
    <x v="0"/>
    <x v="1"/>
    <s v="xxx"/>
    <x v="0"/>
  </r>
  <r>
    <x v="0"/>
    <x v="1"/>
    <s v="xxx"/>
    <x v="0"/>
  </r>
  <r>
    <x v="0"/>
    <x v="1"/>
    <s v="xxx"/>
    <x v="0"/>
  </r>
  <r>
    <x v="0"/>
    <x v="1"/>
    <s v="xxx"/>
    <x v="0"/>
  </r>
  <r>
    <x v="0"/>
    <x v="1"/>
    <s v="xxx"/>
    <x v="0"/>
  </r>
  <r>
    <x v="0"/>
    <x v="1"/>
    <s v="xxx"/>
    <x v="0"/>
  </r>
  <r>
    <x v="0"/>
    <x v="1"/>
    <s v="xxx"/>
    <x v="1"/>
  </r>
  <r>
    <x v="0"/>
    <x v="1"/>
    <s v="xxx"/>
    <x v="1"/>
  </r>
  <r>
    <x v="0"/>
    <x v="1"/>
    <s v="xxx"/>
    <x v="0"/>
  </r>
  <r>
    <x v="0"/>
    <x v="1"/>
    <s v="xxx"/>
    <x v="0"/>
  </r>
  <r>
    <x v="0"/>
    <x v="1"/>
    <s v="xxx"/>
    <x v="1"/>
  </r>
  <r>
    <x v="0"/>
    <x v="1"/>
    <s v="xxx"/>
    <x v="0"/>
  </r>
  <r>
    <x v="0"/>
    <x v="1"/>
    <s v="xxx"/>
    <x v="0"/>
  </r>
  <r>
    <x v="0"/>
    <x v="1"/>
    <s v="xxx"/>
    <x v="1"/>
  </r>
  <r>
    <x v="0"/>
    <x v="1"/>
    <s v="xxx"/>
    <x v="1"/>
  </r>
  <r>
    <x v="0"/>
    <x v="1"/>
    <s v="xxx"/>
    <x v="0"/>
  </r>
  <r>
    <x v="0"/>
    <x v="1"/>
    <s v="xxx"/>
    <x v="0"/>
  </r>
  <r>
    <x v="0"/>
    <x v="1"/>
    <s v="xxx"/>
    <x v="0"/>
  </r>
  <r>
    <x v="0"/>
    <x v="1"/>
    <s v="xxx"/>
    <x v="1"/>
  </r>
  <r>
    <x v="0"/>
    <x v="1"/>
    <s v="xxx"/>
    <x v="0"/>
  </r>
  <r>
    <x v="0"/>
    <x v="1"/>
    <s v="xxx"/>
    <x v="0"/>
  </r>
  <r>
    <x v="0"/>
    <x v="1"/>
    <s v="xxx"/>
    <x v="0"/>
  </r>
  <r>
    <x v="0"/>
    <x v="1"/>
    <s v="xxx"/>
    <x v="0"/>
  </r>
  <r>
    <x v="0"/>
    <x v="2"/>
    <s v="xxx"/>
    <x v="0"/>
  </r>
  <r>
    <x v="0"/>
    <x v="2"/>
    <s v="xxx"/>
    <x v="0"/>
  </r>
  <r>
    <x v="0"/>
    <x v="2"/>
    <s v="xxx"/>
    <x v="0"/>
  </r>
  <r>
    <x v="0"/>
    <x v="2"/>
    <s v="xxx"/>
    <x v="1"/>
  </r>
  <r>
    <x v="0"/>
    <x v="2"/>
    <s v="xxx"/>
    <x v="0"/>
  </r>
  <r>
    <x v="0"/>
    <x v="2"/>
    <s v="xxx"/>
    <x v="0"/>
  </r>
  <r>
    <x v="0"/>
    <x v="2"/>
    <s v="xxx"/>
    <x v="0"/>
  </r>
  <r>
    <x v="0"/>
    <x v="2"/>
    <s v="xxx"/>
    <x v="1"/>
  </r>
  <r>
    <x v="0"/>
    <x v="2"/>
    <s v="xxx"/>
    <x v="0"/>
  </r>
  <r>
    <x v="0"/>
    <x v="2"/>
    <s v="xxx"/>
    <x v="1"/>
  </r>
  <r>
    <x v="0"/>
    <x v="2"/>
    <s v="xxx"/>
    <x v="0"/>
  </r>
  <r>
    <x v="0"/>
    <x v="2"/>
    <s v="xxx"/>
    <x v="1"/>
  </r>
  <r>
    <x v="0"/>
    <x v="2"/>
    <s v="xxx"/>
    <x v="1"/>
  </r>
  <r>
    <x v="0"/>
    <x v="2"/>
    <s v="xxx"/>
    <x v="1"/>
  </r>
  <r>
    <x v="0"/>
    <x v="2"/>
    <s v="xxx"/>
    <x v="0"/>
  </r>
  <r>
    <x v="0"/>
    <x v="2"/>
    <s v="xxx"/>
    <x v="0"/>
  </r>
  <r>
    <x v="0"/>
    <x v="2"/>
    <s v="xxx"/>
    <x v="0"/>
  </r>
  <r>
    <x v="0"/>
    <x v="2"/>
    <s v="xxx"/>
    <x v="0"/>
  </r>
  <r>
    <x v="0"/>
    <x v="2"/>
    <s v="xxx"/>
    <x v="0"/>
  </r>
  <r>
    <x v="1"/>
    <x v="0"/>
    <s v="xxx"/>
    <x v="0"/>
  </r>
  <r>
    <x v="1"/>
    <x v="0"/>
    <s v="xxx"/>
    <x v="0"/>
  </r>
  <r>
    <x v="1"/>
    <x v="0"/>
    <s v="xxx"/>
    <x v="0"/>
  </r>
  <r>
    <x v="1"/>
    <x v="0"/>
    <s v="xxx"/>
    <x v="0"/>
  </r>
  <r>
    <x v="1"/>
    <x v="0"/>
    <s v="xxx"/>
    <x v="0"/>
  </r>
  <r>
    <x v="1"/>
    <x v="0"/>
    <s v="xxx"/>
    <x v="0"/>
  </r>
  <r>
    <x v="1"/>
    <x v="0"/>
    <s v="xxx"/>
    <x v="0"/>
  </r>
  <r>
    <x v="1"/>
    <x v="0"/>
    <s v="xxx"/>
    <x v="0"/>
  </r>
  <r>
    <x v="1"/>
    <x v="0"/>
    <s v="xxx"/>
    <x v="0"/>
  </r>
  <r>
    <x v="1"/>
    <x v="0"/>
    <s v="xxx"/>
    <x v="1"/>
  </r>
  <r>
    <x v="1"/>
    <x v="0"/>
    <s v="xxx"/>
    <x v="1"/>
  </r>
  <r>
    <x v="1"/>
    <x v="0"/>
    <s v="xxx"/>
    <x v="1"/>
  </r>
  <r>
    <x v="1"/>
    <x v="1"/>
    <s v="xxx"/>
    <x v="0"/>
  </r>
  <r>
    <x v="1"/>
    <x v="1"/>
    <s v="xxx"/>
    <x v="0"/>
  </r>
  <r>
    <x v="1"/>
    <x v="1"/>
    <s v="xxx"/>
    <x v="0"/>
  </r>
  <r>
    <x v="1"/>
    <x v="1"/>
    <s v="xxx"/>
    <x v="0"/>
  </r>
  <r>
    <x v="1"/>
    <x v="1"/>
    <s v="xxx"/>
    <x v="0"/>
  </r>
  <r>
    <x v="1"/>
    <x v="1"/>
    <s v="xxx"/>
    <x v="0"/>
  </r>
  <r>
    <x v="1"/>
    <x v="1"/>
    <s v="xxx"/>
    <x v="0"/>
  </r>
  <r>
    <x v="1"/>
    <x v="1"/>
    <s v="xxx"/>
    <x v="1"/>
  </r>
  <r>
    <x v="1"/>
    <x v="1"/>
    <s v="xxx"/>
    <x v="0"/>
  </r>
  <r>
    <x v="1"/>
    <x v="1"/>
    <s v="xxx"/>
    <x v="1"/>
  </r>
  <r>
    <x v="1"/>
    <x v="1"/>
    <s v="xxx"/>
    <x v="0"/>
  </r>
  <r>
    <x v="1"/>
    <x v="1"/>
    <s v="xxx"/>
    <x v="1"/>
  </r>
  <r>
    <x v="1"/>
    <x v="1"/>
    <s v="xxx"/>
    <x v="1"/>
  </r>
  <r>
    <x v="1"/>
    <x v="1"/>
    <s v="xxx"/>
    <x v="0"/>
  </r>
  <r>
    <x v="1"/>
    <x v="1"/>
    <s v="xxx"/>
    <x v="0"/>
  </r>
  <r>
    <x v="1"/>
    <x v="1"/>
    <s v="xxx"/>
    <x v="1"/>
  </r>
  <r>
    <x v="1"/>
    <x v="1"/>
    <s v="xxx"/>
    <x v="0"/>
  </r>
  <r>
    <x v="1"/>
    <x v="1"/>
    <s v="xxx"/>
    <x v="1"/>
  </r>
  <r>
    <x v="1"/>
    <x v="1"/>
    <s v="xxx"/>
    <x v="0"/>
  </r>
  <r>
    <x v="1"/>
    <x v="1"/>
    <s v="xxx"/>
    <x v="0"/>
  </r>
  <r>
    <x v="1"/>
    <x v="1"/>
    <s v="xxx"/>
    <x v="0"/>
  </r>
  <r>
    <x v="1"/>
    <x v="1"/>
    <s v="xxx"/>
    <x v="1"/>
  </r>
  <r>
    <x v="1"/>
    <x v="2"/>
    <s v="xxx"/>
    <x v="0"/>
  </r>
  <r>
    <x v="1"/>
    <x v="2"/>
    <s v="xxx"/>
    <x v="0"/>
  </r>
  <r>
    <x v="1"/>
    <x v="2"/>
    <s v="xxx"/>
    <x v="0"/>
  </r>
  <r>
    <x v="1"/>
    <x v="2"/>
    <s v="xxx"/>
    <x v="0"/>
  </r>
  <r>
    <x v="1"/>
    <x v="2"/>
    <s v="xxx"/>
    <x v="0"/>
  </r>
  <r>
    <x v="1"/>
    <x v="2"/>
    <s v="xxx"/>
    <x v="0"/>
  </r>
  <r>
    <x v="1"/>
    <x v="2"/>
    <s v="xxx"/>
    <x v="1"/>
  </r>
  <r>
    <x v="1"/>
    <x v="2"/>
    <s v="xxx"/>
    <x v="1"/>
  </r>
  <r>
    <x v="1"/>
    <x v="2"/>
    <s v="xxx"/>
    <x v="1"/>
  </r>
  <r>
    <x v="1"/>
    <x v="2"/>
    <s v="xxx"/>
    <x v="1"/>
  </r>
  <r>
    <x v="1"/>
    <x v="2"/>
    <s v="xxx"/>
    <x v="1"/>
  </r>
  <r>
    <x v="1"/>
    <x v="2"/>
    <s v="xxx"/>
    <x v="1"/>
  </r>
  <r>
    <x v="1"/>
    <x v="2"/>
    <s v="xxx"/>
    <x v="1"/>
  </r>
  <r>
    <x v="1"/>
    <x v="2"/>
    <s v="xxx"/>
    <x v="1"/>
  </r>
  <r>
    <x v="1"/>
    <x v="2"/>
    <s v="xxx"/>
    <x v="1"/>
  </r>
  <r>
    <x v="1"/>
    <x v="2"/>
    <s v="xxx"/>
    <x v="1"/>
  </r>
  <r>
    <x v="2"/>
    <x v="0"/>
    <s v="xxx"/>
    <x v="1"/>
  </r>
  <r>
    <x v="2"/>
    <x v="0"/>
    <s v="xxx"/>
    <x v="0"/>
  </r>
  <r>
    <x v="2"/>
    <x v="0"/>
    <s v="xxx"/>
    <x v="0"/>
  </r>
  <r>
    <x v="2"/>
    <x v="0"/>
    <s v="xxx"/>
    <x v="0"/>
  </r>
  <r>
    <x v="2"/>
    <x v="0"/>
    <s v="xxx"/>
    <x v="0"/>
  </r>
  <r>
    <x v="2"/>
    <x v="0"/>
    <s v="xxx"/>
    <x v="0"/>
  </r>
  <r>
    <x v="2"/>
    <x v="0"/>
    <s v="xxx"/>
    <x v="1"/>
  </r>
  <r>
    <x v="2"/>
    <x v="0"/>
    <s v="xxx"/>
    <x v="0"/>
  </r>
  <r>
    <x v="2"/>
    <x v="0"/>
    <s v="xxx"/>
    <x v="0"/>
  </r>
  <r>
    <x v="2"/>
    <x v="1"/>
    <s v="xxx"/>
    <x v="0"/>
  </r>
  <r>
    <x v="2"/>
    <x v="1"/>
    <s v="xxx"/>
    <x v="1"/>
  </r>
  <r>
    <x v="2"/>
    <x v="1"/>
    <s v="xxx"/>
    <x v="1"/>
  </r>
  <r>
    <x v="2"/>
    <x v="1"/>
    <s v="xxx"/>
    <x v="1"/>
  </r>
  <r>
    <x v="2"/>
    <x v="1"/>
    <s v="xxx"/>
    <x v="0"/>
  </r>
  <r>
    <x v="2"/>
    <x v="1"/>
    <s v="xxx"/>
    <x v="0"/>
  </r>
  <r>
    <x v="2"/>
    <x v="1"/>
    <s v="xxx"/>
    <x v="1"/>
  </r>
  <r>
    <x v="2"/>
    <x v="1"/>
    <s v="xxx"/>
    <x v="1"/>
  </r>
  <r>
    <x v="2"/>
    <x v="1"/>
    <s v="xxx"/>
    <x v="1"/>
  </r>
  <r>
    <x v="2"/>
    <x v="1"/>
    <s v="xxx"/>
    <x v="0"/>
  </r>
  <r>
    <x v="2"/>
    <x v="1"/>
    <s v="xxx"/>
    <x v="0"/>
  </r>
  <r>
    <x v="2"/>
    <x v="1"/>
    <s v="xxx"/>
    <x v="1"/>
  </r>
  <r>
    <x v="2"/>
    <x v="1"/>
    <s v="xxx"/>
    <x v="1"/>
  </r>
  <r>
    <x v="2"/>
    <x v="2"/>
    <s v="xxx"/>
    <x v="0"/>
  </r>
  <r>
    <x v="2"/>
    <x v="2"/>
    <s v="xxx"/>
    <x v="0"/>
  </r>
  <r>
    <x v="2"/>
    <x v="2"/>
    <s v="xxx"/>
    <x v="0"/>
  </r>
  <r>
    <x v="2"/>
    <x v="2"/>
    <s v="xxx"/>
    <x v="0"/>
  </r>
  <r>
    <x v="2"/>
    <x v="2"/>
    <s v="xxx"/>
    <x v="0"/>
  </r>
  <r>
    <x v="2"/>
    <x v="2"/>
    <s v="xxx"/>
    <x v="0"/>
  </r>
  <r>
    <x v="2"/>
    <x v="2"/>
    <s v="xxx"/>
    <x v="0"/>
  </r>
  <r>
    <x v="2"/>
    <x v="2"/>
    <s v="xxx"/>
    <x v="1"/>
  </r>
  <r>
    <x v="2"/>
    <x v="2"/>
    <s v="xxx"/>
    <x v="1"/>
  </r>
  <r>
    <x v="2"/>
    <x v="2"/>
    <s v="xxx"/>
    <x v="1"/>
  </r>
  <r>
    <x v="2"/>
    <x v="2"/>
    <s v="xxx"/>
    <x v="1"/>
  </r>
  <r>
    <x v="2"/>
    <x v="2"/>
    <s v="xxx"/>
    <x v="1"/>
  </r>
  <r>
    <x v="2"/>
    <x v="2"/>
    <s v="xxx"/>
    <x v="1"/>
  </r>
  <r>
    <x v="2"/>
    <x v="2"/>
    <s v="xxx"/>
    <x v="1"/>
  </r>
  <r>
    <x v="2"/>
    <x v="2"/>
    <s v="xxx"/>
    <x v="1"/>
  </r>
  <r>
    <x v="2"/>
    <x v="2"/>
    <s v="xxx"/>
    <x v="1"/>
  </r>
  <r>
    <x v="2"/>
    <x v="2"/>
    <s v="xxx"/>
    <x v="1"/>
  </r>
  <r>
    <x v="3"/>
    <x v="0"/>
    <s v="xxx"/>
    <x v="0"/>
  </r>
  <r>
    <x v="3"/>
    <x v="0"/>
    <s v="xxx"/>
    <x v="0"/>
  </r>
  <r>
    <x v="3"/>
    <x v="0"/>
    <s v="xxx"/>
    <x v="0"/>
  </r>
  <r>
    <x v="3"/>
    <x v="0"/>
    <s v="xxx"/>
    <x v="0"/>
  </r>
  <r>
    <x v="3"/>
    <x v="0"/>
    <s v="xxx"/>
    <x v="0"/>
  </r>
  <r>
    <x v="3"/>
    <x v="0"/>
    <s v="xxx"/>
    <x v="0"/>
  </r>
  <r>
    <x v="3"/>
    <x v="0"/>
    <s v="xxx"/>
    <x v="0"/>
  </r>
  <r>
    <x v="3"/>
    <x v="0"/>
    <s v="xxx"/>
    <x v="0"/>
  </r>
  <r>
    <x v="3"/>
    <x v="0"/>
    <s v="xxx"/>
    <x v="0"/>
  </r>
  <r>
    <x v="3"/>
    <x v="0"/>
    <s v="xxx"/>
    <x v="0"/>
  </r>
  <r>
    <x v="3"/>
    <x v="0"/>
    <s v="xxx"/>
    <x v="0"/>
  </r>
  <r>
    <x v="3"/>
    <x v="0"/>
    <s v="xxx"/>
    <x v="1"/>
  </r>
  <r>
    <x v="3"/>
    <x v="0"/>
    <s v="xxx"/>
    <x v="1"/>
  </r>
  <r>
    <x v="3"/>
    <x v="1"/>
    <s v="xxx"/>
    <x v="1"/>
  </r>
  <r>
    <x v="3"/>
    <x v="1"/>
    <s v="xxx"/>
    <x v="0"/>
  </r>
  <r>
    <x v="3"/>
    <x v="1"/>
    <s v="xxx"/>
    <x v="0"/>
  </r>
  <r>
    <x v="3"/>
    <x v="1"/>
    <s v="xxx"/>
    <x v="0"/>
  </r>
  <r>
    <x v="3"/>
    <x v="1"/>
    <s v="xxx"/>
    <x v="0"/>
  </r>
  <r>
    <x v="3"/>
    <x v="1"/>
    <s v="xxx"/>
    <x v="0"/>
  </r>
  <r>
    <x v="3"/>
    <x v="1"/>
    <s v="xxx"/>
    <x v="1"/>
  </r>
  <r>
    <x v="3"/>
    <x v="1"/>
    <s v="xxx"/>
    <x v="1"/>
  </r>
  <r>
    <x v="3"/>
    <x v="1"/>
    <s v="xxx"/>
    <x v="0"/>
  </r>
  <r>
    <x v="3"/>
    <x v="1"/>
    <s v="xxx"/>
    <x v="1"/>
  </r>
  <r>
    <x v="3"/>
    <x v="1"/>
    <s v="xxx"/>
    <x v="0"/>
  </r>
  <r>
    <x v="3"/>
    <x v="1"/>
    <s v="xxx"/>
    <x v="0"/>
  </r>
  <r>
    <x v="3"/>
    <x v="1"/>
    <s v="xxx"/>
    <x v="0"/>
  </r>
  <r>
    <x v="3"/>
    <x v="1"/>
    <s v="xxx"/>
    <x v="1"/>
  </r>
  <r>
    <x v="3"/>
    <x v="1"/>
    <s v="xxx"/>
    <x v="1"/>
  </r>
  <r>
    <x v="3"/>
    <x v="1"/>
    <s v="xxx"/>
    <x v="1"/>
  </r>
  <r>
    <x v="3"/>
    <x v="1"/>
    <s v="xxx"/>
    <x v="1"/>
  </r>
  <r>
    <x v="3"/>
    <x v="1"/>
    <s v="xxx"/>
    <x v="1"/>
  </r>
  <r>
    <x v="3"/>
    <x v="1"/>
    <s v="xxx"/>
    <x v="1"/>
  </r>
  <r>
    <x v="3"/>
    <x v="1"/>
    <s v="xxx"/>
    <x v="1"/>
  </r>
  <r>
    <x v="3"/>
    <x v="1"/>
    <s v="xxx"/>
    <x v="1"/>
  </r>
  <r>
    <x v="3"/>
    <x v="1"/>
    <s v="xxx"/>
    <x v="1"/>
  </r>
  <r>
    <x v="3"/>
    <x v="1"/>
    <s v="xxx"/>
    <x v="0"/>
  </r>
  <r>
    <x v="3"/>
    <x v="1"/>
    <s v="xxx"/>
    <x v="0"/>
  </r>
  <r>
    <x v="3"/>
    <x v="1"/>
    <s v="xxx"/>
    <x v="0"/>
  </r>
  <r>
    <x v="3"/>
    <x v="1"/>
    <s v="xxx"/>
    <x v="1"/>
  </r>
  <r>
    <x v="3"/>
    <x v="2"/>
    <s v="xxx"/>
    <x v="0"/>
  </r>
  <r>
    <x v="3"/>
    <x v="2"/>
    <s v="xxx"/>
    <x v="0"/>
  </r>
  <r>
    <x v="3"/>
    <x v="2"/>
    <s v="xxx"/>
    <x v="1"/>
  </r>
  <r>
    <x v="3"/>
    <x v="2"/>
    <s v="xxx"/>
    <x v="0"/>
  </r>
  <r>
    <x v="3"/>
    <x v="2"/>
    <s v="xxx"/>
    <x v="0"/>
  </r>
  <r>
    <x v="3"/>
    <x v="2"/>
    <s v="xxx"/>
    <x v="0"/>
  </r>
  <r>
    <x v="3"/>
    <x v="2"/>
    <s v="xxx"/>
    <x v="1"/>
  </r>
  <r>
    <x v="3"/>
    <x v="2"/>
    <s v="xxx"/>
    <x v="1"/>
  </r>
  <r>
    <x v="3"/>
    <x v="2"/>
    <s v="xxx"/>
    <x v="1"/>
  </r>
  <r>
    <x v="3"/>
    <x v="2"/>
    <s v="xxx"/>
    <x v="1"/>
  </r>
  <r>
    <x v="3"/>
    <x v="2"/>
    <s v="xxx"/>
    <x v="0"/>
  </r>
  <r>
    <x v="3"/>
    <x v="2"/>
    <s v="xxx"/>
    <x v="0"/>
  </r>
  <r>
    <x v="3"/>
    <x v="2"/>
    <s v="xxx"/>
    <x v="1"/>
  </r>
  <r>
    <x v="3"/>
    <x v="2"/>
    <s v="xxx"/>
    <x v="0"/>
  </r>
  <r>
    <x v="3"/>
    <x v="2"/>
    <s v="xxx"/>
    <x v="1"/>
  </r>
  <r>
    <x v="3"/>
    <x v="2"/>
    <s v="xxx"/>
    <x v="1"/>
  </r>
  <r>
    <x v="4"/>
    <x v="0"/>
    <s v="xxx"/>
    <x v="0"/>
  </r>
  <r>
    <x v="4"/>
    <x v="0"/>
    <s v="xxx"/>
    <x v="0"/>
  </r>
  <r>
    <x v="4"/>
    <x v="0"/>
    <s v="xxx"/>
    <x v="1"/>
  </r>
  <r>
    <x v="4"/>
    <x v="0"/>
    <s v="xxx"/>
    <x v="0"/>
  </r>
  <r>
    <x v="4"/>
    <x v="0"/>
    <s v="xxx"/>
    <x v="1"/>
  </r>
  <r>
    <x v="4"/>
    <x v="0"/>
    <s v="xxx"/>
    <x v="0"/>
  </r>
  <r>
    <x v="4"/>
    <x v="0"/>
    <s v="xxx"/>
    <x v="0"/>
  </r>
  <r>
    <x v="4"/>
    <x v="0"/>
    <s v="xxx"/>
    <x v="1"/>
  </r>
  <r>
    <x v="4"/>
    <x v="0"/>
    <s v="xxx"/>
    <x v="1"/>
  </r>
  <r>
    <x v="4"/>
    <x v="0"/>
    <s v="xxx"/>
    <x v="0"/>
  </r>
  <r>
    <x v="4"/>
    <x v="0"/>
    <s v="xxx"/>
    <x v="0"/>
  </r>
  <r>
    <x v="4"/>
    <x v="0"/>
    <s v="xxx"/>
    <x v="0"/>
  </r>
  <r>
    <x v="4"/>
    <x v="0"/>
    <s v="xxx"/>
    <x v="1"/>
  </r>
  <r>
    <x v="4"/>
    <x v="0"/>
    <s v="xxx"/>
    <x v="0"/>
  </r>
  <r>
    <x v="4"/>
    <x v="0"/>
    <s v="xxx"/>
    <x v="1"/>
  </r>
  <r>
    <x v="4"/>
    <x v="1"/>
    <s v="xxx"/>
    <x v="0"/>
  </r>
  <r>
    <x v="4"/>
    <x v="1"/>
    <s v="xxx"/>
    <x v="0"/>
  </r>
  <r>
    <x v="4"/>
    <x v="1"/>
    <s v="xxx"/>
    <x v="0"/>
  </r>
  <r>
    <x v="4"/>
    <x v="1"/>
    <s v="xxx"/>
    <x v="0"/>
  </r>
  <r>
    <x v="4"/>
    <x v="1"/>
    <s v="xxx"/>
    <x v="1"/>
  </r>
  <r>
    <x v="4"/>
    <x v="1"/>
    <s v="xxx"/>
    <x v="0"/>
  </r>
  <r>
    <x v="4"/>
    <x v="1"/>
    <s v="xxx"/>
    <x v="0"/>
  </r>
  <r>
    <x v="4"/>
    <x v="1"/>
    <s v="xxx"/>
    <x v="1"/>
  </r>
  <r>
    <x v="4"/>
    <x v="1"/>
    <s v="xxx"/>
    <x v="0"/>
  </r>
  <r>
    <x v="4"/>
    <x v="1"/>
    <s v="xxx"/>
    <x v="1"/>
  </r>
  <r>
    <x v="4"/>
    <x v="1"/>
    <s v="xxx"/>
    <x v="1"/>
  </r>
  <r>
    <x v="4"/>
    <x v="1"/>
    <s v="xxx"/>
    <x v="1"/>
  </r>
  <r>
    <x v="4"/>
    <x v="1"/>
    <s v="xxx"/>
    <x v="1"/>
  </r>
  <r>
    <x v="4"/>
    <x v="1"/>
    <s v="xxx"/>
    <x v="1"/>
  </r>
  <r>
    <x v="4"/>
    <x v="1"/>
    <s v="xxx"/>
    <x v="1"/>
  </r>
  <r>
    <x v="4"/>
    <x v="1"/>
    <s v="xxx"/>
    <x v="0"/>
  </r>
  <r>
    <x v="4"/>
    <x v="1"/>
    <s v="xxx"/>
    <x v="1"/>
  </r>
  <r>
    <x v="4"/>
    <x v="1"/>
    <s v="xxx"/>
    <x v="1"/>
  </r>
  <r>
    <x v="4"/>
    <x v="1"/>
    <s v="xxx"/>
    <x v="1"/>
  </r>
  <r>
    <x v="4"/>
    <x v="1"/>
    <s v="xxx"/>
    <x v="0"/>
  </r>
  <r>
    <x v="4"/>
    <x v="1"/>
    <s v="xxx"/>
    <x v="0"/>
  </r>
  <r>
    <x v="4"/>
    <x v="1"/>
    <s v="xxx"/>
    <x v="0"/>
  </r>
  <r>
    <x v="4"/>
    <x v="1"/>
    <s v="xxx"/>
    <x v="0"/>
  </r>
  <r>
    <x v="4"/>
    <x v="1"/>
    <s v="xxx"/>
    <x v="1"/>
  </r>
  <r>
    <x v="4"/>
    <x v="2"/>
    <s v="xxx"/>
    <x v="0"/>
  </r>
  <r>
    <x v="4"/>
    <x v="2"/>
    <s v="xxx"/>
    <x v="0"/>
  </r>
  <r>
    <x v="4"/>
    <x v="2"/>
    <s v="xxx"/>
    <x v="1"/>
  </r>
  <r>
    <x v="4"/>
    <x v="2"/>
    <s v="xxx"/>
    <x v="0"/>
  </r>
  <r>
    <x v="4"/>
    <x v="2"/>
    <s v="xxx"/>
    <x v="0"/>
  </r>
  <r>
    <x v="4"/>
    <x v="2"/>
    <s v="xxx"/>
    <x v="0"/>
  </r>
  <r>
    <x v="4"/>
    <x v="2"/>
    <s v="xxx"/>
    <x v="0"/>
  </r>
  <r>
    <x v="4"/>
    <x v="2"/>
    <s v="xxx"/>
    <x v="0"/>
  </r>
  <r>
    <x v="4"/>
    <x v="2"/>
    <s v="xxx"/>
    <x v="0"/>
  </r>
  <r>
    <x v="5"/>
    <x v="0"/>
    <s v="xxx"/>
    <x v="0"/>
  </r>
  <r>
    <x v="5"/>
    <x v="0"/>
    <s v="xxx"/>
    <x v="1"/>
  </r>
  <r>
    <x v="5"/>
    <x v="0"/>
    <s v="xxx"/>
    <x v="0"/>
  </r>
  <r>
    <x v="5"/>
    <x v="0"/>
    <s v="xxx"/>
    <x v="0"/>
  </r>
  <r>
    <x v="5"/>
    <x v="0"/>
    <s v="xxx"/>
    <x v="1"/>
  </r>
  <r>
    <x v="5"/>
    <x v="0"/>
    <s v="xxx"/>
    <x v="1"/>
  </r>
  <r>
    <x v="5"/>
    <x v="0"/>
    <s v="xxx"/>
    <x v="0"/>
  </r>
  <r>
    <x v="5"/>
    <x v="0"/>
    <s v="xxx"/>
    <x v="0"/>
  </r>
  <r>
    <x v="5"/>
    <x v="0"/>
    <s v="xxx"/>
    <x v="0"/>
  </r>
  <r>
    <x v="5"/>
    <x v="0"/>
    <s v="xxx"/>
    <x v="0"/>
  </r>
  <r>
    <x v="5"/>
    <x v="0"/>
    <s v="xxx"/>
    <x v="0"/>
  </r>
  <r>
    <x v="5"/>
    <x v="0"/>
    <s v="xxx"/>
    <x v="0"/>
  </r>
  <r>
    <x v="5"/>
    <x v="0"/>
    <s v="xxx"/>
    <x v="0"/>
  </r>
  <r>
    <x v="5"/>
    <x v="0"/>
    <s v="xxx"/>
    <x v="0"/>
  </r>
  <r>
    <x v="5"/>
    <x v="0"/>
    <s v="xxx"/>
    <x v="0"/>
  </r>
  <r>
    <x v="5"/>
    <x v="0"/>
    <s v="xxx"/>
    <x v="0"/>
  </r>
  <r>
    <x v="5"/>
    <x v="0"/>
    <s v="xxx"/>
    <x v="0"/>
  </r>
  <r>
    <x v="5"/>
    <x v="0"/>
    <s v="xxx"/>
    <x v="0"/>
  </r>
  <r>
    <x v="5"/>
    <x v="1"/>
    <s v="xxx"/>
    <x v="0"/>
  </r>
  <r>
    <x v="5"/>
    <x v="1"/>
    <s v="xxx"/>
    <x v="1"/>
  </r>
  <r>
    <x v="5"/>
    <x v="1"/>
    <s v="xxx"/>
    <x v="1"/>
  </r>
  <r>
    <x v="5"/>
    <x v="1"/>
    <s v="xxx"/>
    <x v="0"/>
  </r>
  <r>
    <x v="5"/>
    <x v="1"/>
    <s v="xxx"/>
    <x v="0"/>
  </r>
  <r>
    <x v="5"/>
    <x v="1"/>
    <s v="xxx"/>
    <x v="0"/>
  </r>
  <r>
    <x v="5"/>
    <x v="1"/>
    <s v="xxx"/>
    <x v="0"/>
  </r>
  <r>
    <x v="5"/>
    <x v="1"/>
    <s v="xxx"/>
    <x v="0"/>
  </r>
  <r>
    <x v="5"/>
    <x v="1"/>
    <s v="xxx"/>
    <x v="0"/>
  </r>
  <r>
    <x v="5"/>
    <x v="1"/>
    <s v="xxx"/>
    <x v="1"/>
  </r>
  <r>
    <x v="5"/>
    <x v="1"/>
    <s v="xxx"/>
    <x v="0"/>
  </r>
  <r>
    <x v="5"/>
    <x v="1"/>
    <s v="xxx"/>
    <x v="1"/>
  </r>
  <r>
    <x v="5"/>
    <x v="1"/>
    <s v="xxx"/>
    <x v="0"/>
  </r>
  <r>
    <x v="5"/>
    <x v="1"/>
    <s v="xxx"/>
    <x v="0"/>
  </r>
  <r>
    <x v="5"/>
    <x v="1"/>
    <s v="xxx"/>
    <x v="0"/>
  </r>
  <r>
    <x v="5"/>
    <x v="1"/>
    <s v="xxx"/>
    <x v="0"/>
  </r>
  <r>
    <x v="5"/>
    <x v="2"/>
    <s v="xxx"/>
    <x v="1"/>
  </r>
  <r>
    <x v="5"/>
    <x v="2"/>
    <s v="xxx"/>
    <x v="0"/>
  </r>
  <r>
    <x v="5"/>
    <x v="2"/>
    <s v="xxx"/>
    <x v="1"/>
  </r>
  <r>
    <x v="5"/>
    <x v="2"/>
    <s v="xxx"/>
    <x v="1"/>
  </r>
  <r>
    <x v="5"/>
    <x v="2"/>
    <s v="xxx"/>
    <x v="1"/>
  </r>
  <r>
    <x v="5"/>
    <x v="2"/>
    <s v="xxx"/>
    <x v="0"/>
  </r>
  <r>
    <x v="5"/>
    <x v="2"/>
    <s v="xxx"/>
    <x v="1"/>
  </r>
  <r>
    <x v="5"/>
    <x v="2"/>
    <s v="xxx"/>
    <x v="0"/>
  </r>
  <r>
    <x v="5"/>
    <x v="2"/>
    <s v="xxx"/>
    <x v="0"/>
  </r>
  <r>
    <x v="5"/>
    <x v="2"/>
    <s v="xxx"/>
    <x v="0"/>
  </r>
  <r>
    <x v="5"/>
    <x v="2"/>
    <s v="xxx"/>
    <x v="1"/>
  </r>
  <r>
    <x v="5"/>
    <x v="2"/>
    <s v="xxx"/>
    <x v="0"/>
  </r>
  <r>
    <x v="5"/>
    <x v="2"/>
    <s v="xxx"/>
    <x v="0"/>
  </r>
  <r>
    <x v="5"/>
    <x v="2"/>
    <s v="xxx"/>
    <x v="0"/>
  </r>
  <r>
    <x v="5"/>
    <x v="2"/>
    <s v="xxx"/>
    <x v="1"/>
  </r>
  <r>
    <x v="5"/>
    <x v="2"/>
    <s v="xxx"/>
    <x v="0"/>
  </r>
  <r>
    <x v="5"/>
    <x v="2"/>
    <s v="xxx"/>
    <x v="0"/>
  </r>
  <r>
    <x v="5"/>
    <x v="2"/>
    <s v="xxx"/>
    <x v="0"/>
  </r>
  <r>
    <x v="5"/>
    <x v="2"/>
    <s v="xxx"/>
    <x v="0"/>
  </r>
  <r>
    <x v="5"/>
    <x v="2"/>
    <s v="xxx"/>
    <x v="1"/>
  </r>
  <r>
    <x v="5"/>
    <x v="2"/>
    <s v="xxx"/>
    <x v="1"/>
  </r>
  <r>
    <x v="5"/>
    <x v="2"/>
    <s v="xxx"/>
    <x v="0"/>
  </r>
  <r>
    <x v="5"/>
    <x v="2"/>
    <s v="xxx"/>
    <x v="0"/>
  </r>
  <r>
    <x v="5"/>
    <x v="2"/>
    <s v="xxx"/>
    <x v="0"/>
  </r>
  <r>
    <x v="5"/>
    <x v="2"/>
    <s v="xxx"/>
    <x v="0"/>
  </r>
  <r>
    <x v="6"/>
    <x v="0"/>
    <s v="xxx"/>
    <x v="0"/>
  </r>
  <r>
    <x v="6"/>
    <x v="0"/>
    <s v="xxx"/>
    <x v="0"/>
  </r>
  <r>
    <x v="6"/>
    <x v="0"/>
    <s v="xxx"/>
    <x v="0"/>
  </r>
  <r>
    <x v="6"/>
    <x v="0"/>
    <s v="xxx"/>
    <x v="0"/>
  </r>
  <r>
    <x v="6"/>
    <x v="0"/>
    <s v="xxx"/>
    <x v="0"/>
  </r>
  <r>
    <x v="6"/>
    <x v="0"/>
    <s v="xxx"/>
    <x v="0"/>
  </r>
  <r>
    <x v="6"/>
    <x v="0"/>
    <s v="xxx"/>
    <x v="1"/>
  </r>
  <r>
    <x v="6"/>
    <x v="0"/>
    <s v="xxx"/>
    <x v="0"/>
  </r>
  <r>
    <x v="6"/>
    <x v="0"/>
    <s v="xxx"/>
    <x v="0"/>
  </r>
  <r>
    <x v="6"/>
    <x v="0"/>
    <s v="xxx"/>
    <x v="0"/>
  </r>
  <r>
    <x v="6"/>
    <x v="0"/>
    <s v="xxx"/>
    <x v="1"/>
  </r>
  <r>
    <x v="6"/>
    <x v="0"/>
    <s v="xxx"/>
    <x v="1"/>
  </r>
  <r>
    <x v="6"/>
    <x v="0"/>
    <s v="xxx"/>
    <x v="1"/>
  </r>
  <r>
    <x v="6"/>
    <x v="0"/>
    <s v="xxx"/>
    <x v="0"/>
  </r>
  <r>
    <x v="6"/>
    <x v="0"/>
    <s v="xxx"/>
    <x v="0"/>
  </r>
  <r>
    <x v="6"/>
    <x v="0"/>
    <s v="xxx"/>
    <x v="1"/>
  </r>
  <r>
    <x v="6"/>
    <x v="0"/>
    <s v="xxx"/>
    <x v="0"/>
  </r>
  <r>
    <x v="6"/>
    <x v="0"/>
    <s v="xxx"/>
    <x v="0"/>
  </r>
  <r>
    <x v="6"/>
    <x v="0"/>
    <s v="xxx"/>
    <x v="0"/>
  </r>
  <r>
    <x v="6"/>
    <x v="0"/>
    <s v="xxx"/>
    <x v="1"/>
  </r>
  <r>
    <x v="6"/>
    <x v="0"/>
    <s v="xxx"/>
    <x v="0"/>
  </r>
  <r>
    <x v="6"/>
    <x v="0"/>
    <s v="xxx"/>
    <x v="0"/>
  </r>
  <r>
    <x v="6"/>
    <x v="1"/>
    <s v="xxx"/>
    <x v="0"/>
  </r>
  <r>
    <x v="6"/>
    <x v="1"/>
    <s v="xxx"/>
    <x v="1"/>
  </r>
  <r>
    <x v="6"/>
    <x v="1"/>
    <s v="xxx"/>
    <x v="0"/>
  </r>
  <r>
    <x v="6"/>
    <x v="1"/>
    <s v="xxx"/>
    <x v="0"/>
  </r>
  <r>
    <x v="6"/>
    <x v="1"/>
    <s v="xxx"/>
    <x v="0"/>
  </r>
  <r>
    <x v="6"/>
    <x v="1"/>
    <s v="xxx"/>
    <x v="0"/>
  </r>
  <r>
    <x v="6"/>
    <x v="1"/>
    <s v="xxx"/>
    <x v="0"/>
  </r>
  <r>
    <x v="6"/>
    <x v="1"/>
    <s v="xxx"/>
    <x v="0"/>
  </r>
  <r>
    <x v="6"/>
    <x v="1"/>
    <s v="xxx"/>
    <x v="0"/>
  </r>
  <r>
    <x v="6"/>
    <x v="1"/>
    <s v="xxx"/>
    <x v="0"/>
  </r>
  <r>
    <x v="6"/>
    <x v="1"/>
    <s v="xxx"/>
    <x v="1"/>
  </r>
  <r>
    <x v="6"/>
    <x v="1"/>
    <s v="xxx"/>
    <x v="0"/>
  </r>
  <r>
    <x v="6"/>
    <x v="1"/>
    <s v="xxx"/>
    <x v="1"/>
  </r>
  <r>
    <x v="6"/>
    <x v="1"/>
    <s v="xxx"/>
    <x v="1"/>
  </r>
  <r>
    <x v="6"/>
    <x v="1"/>
    <s v="xxx"/>
    <x v="1"/>
  </r>
  <r>
    <x v="6"/>
    <x v="1"/>
    <s v="xxx"/>
    <x v="0"/>
  </r>
  <r>
    <x v="6"/>
    <x v="1"/>
    <s v="xxx"/>
    <x v="0"/>
  </r>
  <r>
    <x v="6"/>
    <x v="2"/>
    <s v="xxx"/>
    <x v="1"/>
  </r>
  <r>
    <x v="6"/>
    <x v="2"/>
    <s v="xxx"/>
    <x v="0"/>
  </r>
  <r>
    <x v="6"/>
    <x v="2"/>
    <s v="xxx"/>
    <x v="0"/>
  </r>
  <r>
    <x v="6"/>
    <x v="2"/>
    <s v="xxx"/>
    <x v="1"/>
  </r>
  <r>
    <x v="6"/>
    <x v="2"/>
    <s v="xxx"/>
    <x v="0"/>
  </r>
  <r>
    <x v="6"/>
    <x v="2"/>
    <s v="xxx"/>
    <x v="1"/>
  </r>
  <r>
    <x v="6"/>
    <x v="2"/>
    <s v="xxx"/>
    <x v="1"/>
  </r>
  <r>
    <x v="6"/>
    <x v="2"/>
    <s v="xxx"/>
    <x v="0"/>
  </r>
  <r>
    <x v="6"/>
    <x v="2"/>
    <s v="xxx"/>
    <x v="0"/>
  </r>
  <r>
    <x v="6"/>
    <x v="2"/>
    <s v="xxx"/>
    <x v="0"/>
  </r>
  <r>
    <x v="6"/>
    <x v="2"/>
    <s v="xxx"/>
    <x v="1"/>
  </r>
  <r>
    <x v="6"/>
    <x v="2"/>
    <s v="xxx"/>
    <x v="0"/>
  </r>
  <r>
    <x v="6"/>
    <x v="2"/>
    <s v="xxx"/>
    <x v="0"/>
  </r>
  <r>
    <x v="6"/>
    <x v="2"/>
    <s v="xxx"/>
    <x v="1"/>
  </r>
  <r>
    <x v="6"/>
    <x v="2"/>
    <s v="xxx"/>
    <x v="1"/>
  </r>
  <r>
    <x v="6"/>
    <x v="2"/>
    <s v="xxx"/>
    <x v="1"/>
  </r>
  <r>
    <x v="6"/>
    <x v="2"/>
    <s v="xxx"/>
    <x v="0"/>
  </r>
  <r>
    <x v="7"/>
    <x v="0"/>
    <s v="xxx"/>
    <x v="0"/>
  </r>
  <r>
    <x v="7"/>
    <x v="0"/>
    <s v="xxx"/>
    <x v="1"/>
  </r>
  <r>
    <x v="7"/>
    <x v="0"/>
    <s v="xxx"/>
    <x v="0"/>
  </r>
  <r>
    <x v="7"/>
    <x v="0"/>
    <s v="xxx"/>
    <x v="1"/>
  </r>
  <r>
    <x v="7"/>
    <x v="0"/>
    <s v="xxx"/>
    <x v="0"/>
  </r>
  <r>
    <x v="7"/>
    <x v="0"/>
    <s v="xxx"/>
    <x v="0"/>
  </r>
  <r>
    <x v="7"/>
    <x v="0"/>
    <s v="xxx"/>
    <x v="0"/>
  </r>
  <r>
    <x v="7"/>
    <x v="0"/>
    <s v="xxx"/>
    <x v="0"/>
  </r>
  <r>
    <x v="7"/>
    <x v="0"/>
    <s v="xxx"/>
    <x v="0"/>
  </r>
  <r>
    <x v="7"/>
    <x v="0"/>
    <s v="xxx"/>
    <x v="0"/>
  </r>
  <r>
    <x v="7"/>
    <x v="0"/>
    <s v="xxx"/>
    <x v="1"/>
  </r>
  <r>
    <x v="7"/>
    <x v="0"/>
    <s v="xxx"/>
    <x v="1"/>
  </r>
  <r>
    <x v="7"/>
    <x v="0"/>
    <s v="xxx"/>
    <x v="1"/>
  </r>
  <r>
    <x v="7"/>
    <x v="1"/>
    <s v="xxx"/>
    <x v="0"/>
  </r>
  <r>
    <x v="7"/>
    <x v="1"/>
    <s v="xxx"/>
    <x v="0"/>
  </r>
  <r>
    <x v="7"/>
    <x v="1"/>
    <s v="xxx"/>
    <x v="1"/>
  </r>
  <r>
    <x v="7"/>
    <x v="1"/>
    <s v="xxx"/>
    <x v="1"/>
  </r>
  <r>
    <x v="7"/>
    <x v="1"/>
    <s v="xxx"/>
    <x v="1"/>
  </r>
  <r>
    <x v="7"/>
    <x v="1"/>
    <s v="xxx"/>
    <x v="1"/>
  </r>
  <r>
    <x v="7"/>
    <x v="1"/>
    <s v="xxx"/>
    <x v="1"/>
  </r>
  <r>
    <x v="7"/>
    <x v="1"/>
    <s v="xxx"/>
    <x v="1"/>
  </r>
  <r>
    <x v="7"/>
    <x v="1"/>
    <s v="xxx"/>
    <x v="1"/>
  </r>
  <r>
    <x v="7"/>
    <x v="1"/>
    <s v="xxx"/>
    <x v="1"/>
  </r>
  <r>
    <x v="7"/>
    <x v="1"/>
    <s v="xxx"/>
    <x v="0"/>
  </r>
  <r>
    <x v="7"/>
    <x v="1"/>
    <s v="xxx"/>
    <x v="1"/>
  </r>
  <r>
    <x v="7"/>
    <x v="1"/>
    <s v="xxx"/>
    <x v="0"/>
  </r>
  <r>
    <x v="7"/>
    <x v="1"/>
    <s v="xxx"/>
    <x v="1"/>
  </r>
  <r>
    <x v="7"/>
    <x v="1"/>
    <s v="xxx"/>
    <x v="1"/>
  </r>
  <r>
    <x v="7"/>
    <x v="2"/>
    <s v="xxx"/>
    <x v="0"/>
  </r>
  <r>
    <x v="7"/>
    <x v="2"/>
    <s v="xxx"/>
    <x v="0"/>
  </r>
  <r>
    <x v="7"/>
    <x v="2"/>
    <s v="xxx"/>
    <x v="1"/>
  </r>
  <r>
    <x v="7"/>
    <x v="2"/>
    <s v="xxx"/>
    <x v="1"/>
  </r>
  <r>
    <x v="7"/>
    <x v="2"/>
    <s v="xxx"/>
    <x v="0"/>
  </r>
  <r>
    <x v="7"/>
    <x v="2"/>
    <s v="xxx"/>
    <x v="1"/>
  </r>
  <r>
    <x v="7"/>
    <x v="2"/>
    <s v="xxx"/>
    <x v="1"/>
  </r>
  <r>
    <x v="7"/>
    <x v="2"/>
    <s v="xxx"/>
    <x v="1"/>
  </r>
  <r>
    <x v="7"/>
    <x v="2"/>
    <s v="xxx"/>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BC4585-6546-4A4D-A455-458D9857C40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 colHeaderCaption="">
  <location ref="A3:D37" firstHeaderRow="1" firstDataRow="2" firstDataCol="1"/>
  <pivotFields count="4">
    <pivotField axis="axisRow" showAll="0" sortType="ascending">
      <items count="9">
        <item x="4"/>
        <item x="6"/>
        <item x="3"/>
        <item x="0"/>
        <item x="1"/>
        <item x="2"/>
        <item x="5"/>
        <item x="7"/>
        <item t="default"/>
      </items>
      <autoSortScope>
        <pivotArea dataOnly="0" outline="0" fieldPosition="0">
          <references count="1">
            <reference field="4294967294" count="1" selected="0">
              <x v="0"/>
            </reference>
          </references>
        </pivotArea>
      </autoSortScope>
    </pivotField>
    <pivotField axis="axisRow" showAll="0">
      <items count="4">
        <item x="0"/>
        <item x="1"/>
        <item x="2"/>
        <item t="default"/>
      </items>
    </pivotField>
    <pivotField dataField="1" showAll="0"/>
    <pivotField axis="axisCol" showAll="0">
      <items count="3">
        <item x="0"/>
        <item x="1"/>
        <item t="default"/>
      </items>
    </pivotField>
  </pivotFields>
  <rowFields count="2">
    <field x="0"/>
    <field x="1"/>
  </rowFields>
  <rowItems count="33">
    <i>
      <x v="7"/>
    </i>
    <i r="1">
      <x/>
    </i>
    <i r="1">
      <x v="1"/>
    </i>
    <i r="1">
      <x v="2"/>
    </i>
    <i>
      <x v="5"/>
    </i>
    <i r="1">
      <x/>
    </i>
    <i r="1">
      <x v="1"/>
    </i>
    <i r="1">
      <x v="2"/>
    </i>
    <i>
      <x/>
    </i>
    <i r="1">
      <x/>
    </i>
    <i r="1">
      <x v="1"/>
    </i>
    <i r="1">
      <x v="2"/>
    </i>
    <i>
      <x v="4"/>
    </i>
    <i r="1">
      <x/>
    </i>
    <i r="1">
      <x v="1"/>
    </i>
    <i r="1">
      <x v="2"/>
    </i>
    <i>
      <x v="2"/>
    </i>
    <i r="1">
      <x/>
    </i>
    <i r="1">
      <x v="1"/>
    </i>
    <i r="1">
      <x v="2"/>
    </i>
    <i>
      <x v="1"/>
    </i>
    <i r="1">
      <x/>
    </i>
    <i r="1">
      <x v="1"/>
    </i>
    <i r="1">
      <x v="2"/>
    </i>
    <i>
      <x v="6"/>
    </i>
    <i r="1">
      <x/>
    </i>
    <i r="1">
      <x v="1"/>
    </i>
    <i r="1">
      <x v="2"/>
    </i>
    <i>
      <x v="3"/>
    </i>
    <i r="1">
      <x/>
    </i>
    <i r="1">
      <x v="1"/>
    </i>
    <i r="1">
      <x v="2"/>
    </i>
    <i t="grand">
      <x/>
    </i>
  </rowItems>
  <colFields count="1">
    <field x="3"/>
  </colFields>
  <colItems count="3">
    <i>
      <x/>
    </i>
    <i>
      <x v="1"/>
    </i>
    <i t="grand">
      <x/>
    </i>
  </colItems>
  <dataFields count="1">
    <dataField name="Jumlah Peserta" fld="2" subtotal="count" baseField="1" baseItem="1"/>
  </dataFields>
  <formats count="16">
    <format dxfId="16">
      <pivotArea type="origin" dataOnly="0" labelOnly="1" outline="0" fieldPosition="0"/>
    </format>
    <format dxfId="15">
      <pivotArea field="3" type="button" dataOnly="0" labelOnly="1" outline="0" axis="axisCol" fieldPosition="0"/>
    </format>
    <format dxfId="14">
      <pivotArea type="topRight" dataOnly="0" labelOnly="1" outline="0" fieldPosition="0"/>
    </format>
    <format dxfId="13">
      <pivotArea field="0" type="button" dataOnly="0" labelOnly="1" outline="0" axis="axisRow" fieldPosition="0"/>
    </format>
    <format dxfId="12">
      <pivotArea dataOnly="0" labelOnly="1" grandCol="1" outline="0" fieldPosition="0"/>
    </format>
    <format dxfId="11">
      <pivotArea type="origin" dataOnly="0" labelOnly="1" outline="0" fieldPosition="0"/>
    </format>
    <format dxfId="10">
      <pivotArea field="3" type="button" dataOnly="0" labelOnly="1" outline="0" axis="axisCol" fieldPosition="0"/>
    </format>
    <format dxfId="9">
      <pivotArea type="topRight" dataOnly="0" labelOnly="1" outline="0" fieldPosition="0"/>
    </format>
    <format dxfId="8">
      <pivotArea field="0" type="button" dataOnly="0" labelOnly="1" outline="0" axis="axisRow" fieldPosition="0"/>
    </format>
    <format dxfId="7">
      <pivotArea dataOnly="0" labelOnly="1" grandCol="1" outline="0" fieldPosition="0"/>
    </format>
    <format dxfId="6">
      <pivotArea type="origin" dataOnly="0" labelOnly="1" outline="0" fieldPosition="0"/>
    </format>
    <format dxfId="5">
      <pivotArea field="3" type="button" dataOnly="0" labelOnly="1" outline="0" axis="axisCol" fieldPosition="0"/>
    </format>
    <format dxfId="4">
      <pivotArea type="topRight" dataOnly="0" labelOnly="1" outline="0" fieldPosition="0"/>
    </format>
    <format dxfId="3">
      <pivotArea field="0" type="button" dataOnly="0" labelOnly="1" outline="0" axis="axisRow" fieldPosition="0"/>
    </format>
    <format dxfId="2">
      <pivotArea dataOnly="0" labelOnly="1" grandCol="1" outline="0" fieldPosition="0"/>
    </format>
    <format dxfId="1">
      <pivotArea dataOnly="0" labelOnly="1" fieldPosition="0">
        <references count="1">
          <reference field="3" count="0"/>
        </references>
      </pivotArea>
    </format>
  </formats>
  <chartFormats count="3">
    <chartFormat chart="0" format="0" series="1">
      <pivotArea type="data" outline="0" fieldPosition="0">
        <references count="1">
          <reference field="4294967294" count="1" selected="0">
            <x v="0"/>
          </reference>
        </references>
      </pivotArea>
    </chartFormat>
    <chartFormat chart="0" format="5" series="1">
      <pivotArea type="data" outline="0" fieldPosition="0">
        <references count="2">
          <reference field="4294967294" count="1" selected="0">
            <x v="0"/>
          </reference>
          <reference field="3" count="1" selected="0">
            <x v="1"/>
          </reference>
        </references>
      </pivotArea>
    </chartFormat>
    <chartFormat chart="0" format="6"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emen" xr10:uid="{7B84CAC6-F021-446D-B5E3-15CEDD06EF4C}" sourceName="Departemen">
  <pivotTables>
    <pivotTable tabId="2" name="PivotTable1"/>
  </pivotTables>
  <data>
    <tabular pivotCacheId="958610793">
      <items count="8">
        <i x="4" s="1"/>
        <i x="6" s="1"/>
        <i x="3" s="1"/>
        <i x="0" s="1"/>
        <i x="1" s="1"/>
        <i x="2" s="1"/>
        <i x="5"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lan" xr10:uid="{91DB542D-42E0-4C4E-ADCC-EF923C64B096}" sourceName="Bulan">
  <pivotTables>
    <pivotTable tabId="2" name="PivotTable1"/>
  </pivotTables>
  <data>
    <tabular pivotCacheId="95861079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al" xr10:uid="{E98E54D2-0240-4088-ABB9-2E05B0636BD8}" sourceName="Asal">
  <pivotTables>
    <pivotTable tabId="2" name="PivotTable1"/>
  </pivotTables>
  <data>
    <tabular pivotCacheId="95861079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emen" xr10:uid="{1C83C483-6533-4307-BA9C-527D72DDBDFA}" cache="Slicer_Departemen" caption="Departemen" rowHeight="251883"/>
  <slicer name="Bulan" xr10:uid="{4E504143-61D2-486B-A231-0E61D602F153}" cache="Slicer_Bulan" caption="Bulan" rowHeight="251883"/>
  <slicer name="Asal" xr10:uid="{37CCE2B5-4A90-43FE-BB13-CC07F4D0AEDC}" cache="Slicer_Asal" caption="Asal"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AF027D-0496-4ABA-B981-160692C04B87}" name="Data" displayName="Data" ref="A1:D411" totalsRowShown="0">
  <autoFilter ref="A1:D411" xr:uid="{44AF027D-0496-4ABA-B981-160692C04B87}"/>
  <tableColumns count="4">
    <tableColumn id="1" xr3:uid="{32C73069-BCD3-4AAF-B505-234D2264B10D}" name="Departemen"/>
    <tableColumn id="2" xr3:uid="{94A88158-683F-476D-A23C-31E723811766}" name="Bulan"/>
    <tableColumn id="3" xr3:uid="{5E5AB9CF-F92C-4A8C-A480-D8D6E4549997}" name="Nama" dataDxfId="0"/>
    <tableColumn id="4" xr3:uid="{0CAE5FDB-EB8F-4D8D-8451-15A0F338DDC5}" name="As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0D55D-912F-410C-B970-70C38CB516C5}">
  <dimension ref="A1:S22"/>
  <sheetViews>
    <sheetView showGridLines="0" tabSelected="1" zoomScale="91" zoomScaleNormal="72" zoomScalePageLayoutView="44" workbookViewId="0">
      <selection activeCell="B7" sqref="B7:D7"/>
    </sheetView>
  </sheetViews>
  <sheetFormatPr defaultColWidth="0" defaultRowHeight="14.5" zeroHeight="1" x14ac:dyDescent="0.35"/>
  <cols>
    <col min="1" max="1" width="10.90625" bestFit="1" customWidth="1"/>
    <col min="2" max="19" width="8.7265625" customWidth="1"/>
    <col min="20" max="16384" width="8.7265625" hidden="1"/>
  </cols>
  <sheetData>
    <row r="1" spans="1:19" x14ac:dyDescent="0.35"/>
    <row r="2" spans="1:19" x14ac:dyDescent="0.35">
      <c r="A2" s="12" t="s">
        <v>27</v>
      </c>
      <c r="B2" s="13"/>
      <c r="C2" s="13"/>
      <c r="D2" s="13"/>
      <c r="E2" s="13"/>
      <c r="F2" s="13"/>
      <c r="G2" s="13"/>
      <c r="H2" s="13"/>
      <c r="I2" s="13"/>
      <c r="J2" s="13"/>
      <c r="K2" s="13"/>
      <c r="L2" s="13"/>
      <c r="M2" s="13"/>
      <c r="N2" s="13"/>
      <c r="O2" s="13"/>
      <c r="P2" s="13"/>
      <c r="Q2" s="13"/>
      <c r="R2" s="13"/>
      <c r="S2" s="13"/>
    </row>
    <row r="3" spans="1:19" x14ac:dyDescent="0.35">
      <c r="A3" s="13"/>
      <c r="B3" s="13"/>
      <c r="C3" s="13"/>
      <c r="D3" s="13"/>
      <c r="E3" s="13"/>
      <c r="F3" s="13"/>
      <c r="G3" s="13"/>
      <c r="H3" s="13"/>
      <c r="I3" s="13"/>
      <c r="J3" s="13"/>
      <c r="K3" s="13"/>
      <c r="L3" s="13"/>
      <c r="M3" s="13"/>
      <c r="N3" s="13"/>
      <c r="O3" s="13"/>
      <c r="P3" s="13"/>
      <c r="Q3" s="13"/>
      <c r="R3" s="13"/>
      <c r="S3" s="13"/>
    </row>
    <row r="4" spans="1:19" ht="42" customHeight="1" x14ac:dyDescent="0.35">
      <c r="A4" s="13"/>
      <c r="B4" s="13"/>
      <c r="C4" s="13"/>
      <c r="D4" s="13"/>
      <c r="E4" s="13"/>
      <c r="F4" s="13"/>
      <c r="G4" s="13"/>
      <c r="H4" s="13"/>
      <c r="I4" s="13"/>
      <c r="J4" s="13"/>
      <c r="K4" s="13"/>
      <c r="L4" s="13"/>
      <c r="M4" s="13"/>
      <c r="N4" s="13"/>
      <c r="O4" s="13"/>
      <c r="P4" s="13"/>
      <c r="Q4" s="13"/>
      <c r="R4" s="13"/>
      <c r="S4" s="13"/>
    </row>
    <row r="5" spans="1:19" ht="23" customHeight="1" x14ac:dyDescent="0.35">
      <c r="A5" s="10"/>
      <c r="B5" s="10"/>
      <c r="C5" s="10"/>
      <c r="D5" s="10"/>
      <c r="E5" s="10"/>
      <c r="F5" s="10"/>
      <c r="G5" s="10"/>
      <c r="H5" s="10"/>
      <c r="I5" s="10"/>
      <c r="J5" s="10"/>
      <c r="K5" s="10"/>
      <c r="L5" s="10"/>
      <c r="M5" s="10"/>
      <c r="N5" s="10"/>
      <c r="O5" s="10"/>
      <c r="P5" s="10"/>
      <c r="Q5" s="10"/>
      <c r="R5" s="10"/>
      <c r="S5" s="10"/>
    </row>
    <row r="6" spans="1:19" ht="18.5" x14ac:dyDescent="0.45">
      <c r="B6" s="15" t="s">
        <v>1</v>
      </c>
      <c r="C6" s="15"/>
      <c r="D6" s="15"/>
      <c r="E6" s="8"/>
      <c r="F6" s="8"/>
      <c r="G6" s="8"/>
      <c r="H6" s="15" t="s">
        <v>0</v>
      </c>
      <c r="I6" s="15"/>
      <c r="J6" s="15"/>
      <c r="K6" s="8"/>
      <c r="L6" s="8"/>
      <c r="M6" s="8"/>
      <c r="N6" s="8"/>
      <c r="O6" s="16" t="s">
        <v>26</v>
      </c>
      <c r="P6" s="16"/>
      <c r="Q6" s="16"/>
    </row>
    <row r="7" spans="1:19" ht="21.5" x14ac:dyDescent="0.55000000000000004">
      <c r="B7" s="14" t="s">
        <v>9</v>
      </c>
      <c r="C7" s="14"/>
      <c r="D7" s="14"/>
      <c r="E7" s="9"/>
      <c r="F7" s="9"/>
      <c r="G7" s="9"/>
      <c r="H7" s="14" t="s">
        <v>13</v>
      </c>
      <c r="I7" s="14"/>
      <c r="J7" s="14"/>
      <c r="K7" s="9"/>
      <c r="L7" s="7"/>
      <c r="M7" s="7"/>
      <c r="N7" s="7"/>
      <c r="O7" s="7"/>
      <c r="P7" s="7"/>
      <c r="Q7" s="7"/>
    </row>
    <row r="8" spans="1:19" x14ac:dyDescent="0.35"/>
    <row r="9" spans="1:19" x14ac:dyDescent="0.35"/>
    <row r="10" spans="1:19" x14ac:dyDescent="0.35"/>
    <row r="11" spans="1:19" x14ac:dyDescent="0.35"/>
    <row r="12" spans="1:19" x14ac:dyDescent="0.35"/>
    <row r="13" spans="1:19" x14ac:dyDescent="0.35"/>
    <row r="14" spans="1:19" x14ac:dyDescent="0.35"/>
    <row r="15" spans="1:19" x14ac:dyDescent="0.35"/>
    <row r="16" spans="1:19" x14ac:dyDescent="0.35"/>
    <row r="17" x14ac:dyDescent="0.35"/>
    <row r="18" x14ac:dyDescent="0.35"/>
    <row r="19" x14ac:dyDescent="0.35"/>
    <row r="20" x14ac:dyDescent="0.35"/>
    <row r="21" x14ac:dyDescent="0.35"/>
    <row r="22" x14ac:dyDescent="0.35"/>
  </sheetData>
  <sheetProtection sheet="1" objects="1" scenarios="1"/>
  <mergeCells count="6">
    <mergeCell ref="A2:S4"/>
    <mergeCell ref="B7:D7"/>
    <mergeCell ref="H7:J7"/>
    <mergeCell ref="H6:J6"/>
    <mergeCell ref="B6:D6"/>
    <mergeCell ref="O6:Q6"/>
  </mergeCells>
  <pageMargins left="0.70866141732283472" right="0.70866141732283472" top="0.74803149606299213" bottom="0.74803149606299213" header="0.31496062992125984" footer="0.31496062992125984"/>
  <pageSetup paperSize="9" scale="78" orientation="landscape" horizontalDpi="360" verticalDpi="360"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D7F01AD0-4EF3-40AF-99C7-B2432BD7A219}">
          <x14:formula1>
            <xm:f>Sheet4!$A$12:$A$14</xm:f>
          </x14:formula1>
          <xm:sqref>B7</xm:sqref>
        </x14:dataValidation>
        <x14:dataValidation type="list" allowBlank="1" showInputMessage="1" showErrorMessage="1" xr:uid="{3A31AACA-0987-4391-A2CC-D7C9FE053939}">
          <x14:formula1>
            <xm:f>Sheet4!$C$13:$C$19</xm:f>
          </x14:formula1>
          <xm:sqref>H7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5B257-F700-406E-9E82-0347584C1FB4}">
  <dimension ref="A1:T20"/>
  <sheetViews>
    <sheetView zoomScale="90" workbookViewId="0">
      <selection activeCell="A16" sqref="A16:B17"/>
    </sheetView>
  </sheetViews>
  <sheetFormatPr defaultRowHeight="14.5" x14ac:dyDescent="0.35"/>
  <cols>
    <col min="1" max="3" width="13.81640625" bestFit="1" customWidth="1"/>
    <col min="4" max="4" width="10.26953125" bestFit="1" customWidth="1"/>
    <col min="5" max="5" width="8.7265625" customWidth="1"/>
    <col min="6" max="6" width="4.36328125" bestFit="1" customWidth="1"/>
  </cols>
  <sheetData>
    <row r="1" spans="1:20" x14ac:dyDescent="0.35">
      <c r="C1" s="17" t="s">
        <v>21</v>
      </c>
      <c r="D1" s="17"/>
      <c r="E1" s="17"/>
      <c r="F1" s="17"/>
      <c r="G1" s="17"/>
      <c r="H1" s="5"/>
      <c r="J1" s="17" t="s">
        <v>23</v>
      </c>
      <c r="K1" s="17"/>
      <c r="L1" s="17"/>
      <c r="M1" s="17"/>
      <c r="N1" s="17"/>
      <c r="P1" s="17" t="s">
        <v>24</v>
      </c>
      <c r="Q1" s="17"/>
      <c r="R1" s="17"/>
      <c r="S1" s="17"/>
      <c r="T1" s="17"/>
    </row>
    <row r="2" spans="1:20" x14ac:dyDescent="0.35">
      <c r="D2" s="6" t="s">
        <v>5</v>
      </c>
      <c r="E2" s="6" t="s">
        <v>8</v>
      </c>
      <c r="F2" s="6" t="s">
        <v>9</v>
      </c>
      <c r="G2" s="6" t="s">
        <v>22</v>
      </c>
      <c r="H2" s="6" t="s">
        <v>25</v>
      </c>
      <c r="K2" s="6" t="s">
        <v>5</v>
      </c>
      <c r="L2" s="6" t="s">
        <v>8</v>
      </c>
      <c r="M2" s="6" t="s">
        <v>9</v>
      </c>
      <c r="N2" s="6" t="s">
        <v>22</v>
      </c>
      <c r="Q2" s="6" t="s">
        <v>5</v>
      </c>
      <c r="R2" s="6" t="s">
        <v>8</v>
      </c>
      <c r="S2" s="6" t="s">
        <v>9</v>
      </c>
      <c r="T2" s="6" t="s">
        <v>22</v>
      </c>
    </row>
    <row r="3" spans="1:20" x14ac:dyDescent="0.35">
      <c r="A3" t="str" cm="1">
        <f t="array" ref="A3:A10">_xlfn.UNIQUE(Data[Departemen])</f>
        <v>HR</v>
      </c>
      <c r="C3" s="4" t="s">
        <v>4</v>
      </c>
      <c r="D3" s="1">
        <f>COUNTIFS(Data[Departemen],$C$3,Data[Bulan],D2)</f>
        <v>20</v>
      </c>
      <c r="E3" s="1">
        <f>COUNTIFS(Data[Departemen],$C$3,Data[Bulan],E2)</f>
        <v>27</v>
      </c>
      <c r="F3" s="1">
        <f>COUNTIFS(Data[Departemen],$C$3,Data[Bulan],F2)</f>
        <v>19</v>
      </c>
      <c r="G3" s="1">
        <f>SUM(D3:F3)</f>
        <v>66</v>
      </c>
      <c r="H3" s="1">
        <f>COUNTIFS(Data[Departemen],Dashboard!#REF!,Data[Bulan],Dashboard!#REF!)</f>
        <v>0</v>
      </c>
      <c r="J3" s="4" t="s">
        <v>4</v>
      </c>
      <c r="K3" s="1">
        <f>COUNTIFS(Data[Departemen],C3,Data[Bulan],$K$2,Data[Asal],"Impactman")</f>
        <v>18</v>
      </c>
      <c r="L3" s="1">
        <f>COUNTIFS(Data[Departemen],C3,Data[Bulan],$L$2,Data[Asal],"Impactman")</f>
        <v>19</v>
      </c>
      <c r="M3" s="1">
        <f>COUNTIFS(Data[Departemen],C3,Data[Bulan],$M$2,Data[Asal],"Impactman")</f>
        <v>13</v>
      </c>
      <c r="N3" s="1">
        <f>SUM(K3:M3)</f>
        <v>50</v>
      </c>
      <c r="P3" s="4" t="s">
        <v>4</v>
      </c>
      <c r="Q3" s="1">
        <f>COUNTIFS(Data[Departemen],J3,Data[Bulan],$K$2,Data[Asal],"Rangers")</f>
        <v>2</v>
      </c>
      <c r="R3" s="1">
        <f>COUNTIFS(Data[Departemen],J3,Data[Bulan],$L$2,Data[Asal],"Rangers")</f>
        <v>8</v>
      </c>
      <c r="S3" s="1">
        <f>COUNTIFS(Data[Departemen],J3,Data[Bulan],$M$2,Data[Asal],"Rangers")</f>
        <v>6</v>
      </c>
      <c r="T3" s="1">
        <f>SUM(Q3:S3)</f>
        <v>16</v>
      </c>
    </row>
    <row r="4" spans="1:20" x14ac:dyDescent="0.35">
      <c r="A4" t="str">
        <v>Operation</v>
      </c>
      <c r="C4" s="4" t="s">
        <v>10</v>
      </c>
      <c r="D4" s="1">
        <f>COUNTIFS(Data[Departemen],$C$4,Data[Bulan],D2)</f>
        <v>12</v>
      </c>
      <c r="E4" s="1">
        <f>COUNTIFS(Data[Departemen],$C$4,Data[Bulan],E2)</f>
        <v>22</v>
      </c>
      <c r="F4" s="1">
        <f>COUNTIFS(Data[Departemen],$C$4,Data[Bulan],F2)</f>
        <v>16</v>
      </c>
      <c r="G4" s="1">
        <f t="shared" ref="G4:G10" si="0">SUM(D4:F4)</f>
        <v>50</v>
      </c>
      <c r="H4" s="1"/>
      <c r="J4" s="4" t="s">
        <v>10</v>
      </c>
      <c r="K4" s="1">
        <f>COUNTIFS(Data[Departemen],C4,Data[Bulan],$K$2,Data[Asal],"Impactman")</f>
        <v>9</v>
      </c>
      <c r="L4" s="1">
        <f>COUNTIFS(Data[Departemen],C4,Data[Bulan],$L$2,Data[Asal],"Impactman")</f>
        <v>15</v>
      </c>
      <c r="M4" s="1">
        <f>COUNTIFS(Data[Departemen],C4,Data[Bulan],$M$2,Data[Asal],"Impactman")</f>
        <v>6</v>
      </c>
      <c r="N4" s="1">
        <f t="shared" ref="N4:N10" si="1">SUM(K4:M4)</f>
        <v>30</v>
      </c>
      <c r="P4" s="4" t="s">
        <v>10</v>
      </c>
      <c r="Q4" s="1">
        <f>COUNTIFS(Data[Departemen],J4,Data[Bulan],$K$2,Data[Asal],"Rangers")</f>
        <v>3</v>
      </c>
      <c r="R4" s="1">
        <f>COUNTIFS(Data[Departemen],J4,Data[Bulan],$L$2,Data[Asal],"Rangers")</f>
        <v>7</v>
      </c>
      <c r="S4" s="1">
        <f>COUNTIFS(Data[Departemen],J4,Data[Bulan],$M$2,Data[Asal],"Rangers")</f>
        <v>10</v>
      </c>
      <c r="T4" s="1">
        <f t="shared" ref="T4:T10" si="2">SUM(Q4:S4)</f>
        <v>20</v>
      </c>
    </row>
    <row r="5" spans="1:20" x14ac:dyDescent="0.35">
      <c r="A5" t="str">
        <v>Project</v>
      </c>
      <c r="C5" s="4" t="s">
        <v>11</v>
      </c>
      <c r="D5" s="1">
        <f>COUNTIFS(Data[Departemen],$C$5,Data[Bulan],D2)</f>
        <v>9</v>
      </c>
      <c r="E5" s="1">
        <f>COUNTIFS(Data[Departemen],$C$5,Data[Bulan],E2)</f>
        <v>13</v>
      </c>
      <c r="F5" s="1">
        <f>COUNTIFS(Data[Departemen],$C$5,Data[Bulan],F2)</f>
        <v>17</v>
      </c>
      <c r="G5" s="1">
        <f t="shared" si="0"/>
        <v>39</v>
      </c>
      <c r="H5" s="1"/>
      <c r="J5" s="4" t="s">
        <v>11</v>
      </c>
      <c r="K5" s="1">
        <f>COUNTIFS(Data[Departemen],C5,Data[Bulan],$K$2,Data[Asal],"Impactman")</f>
        <v>7</v>
      </c>
      <c r="L5" s="1">
        <f>COUNTIFS(Data[Departemen],C5,Data[Bulan],$L$2,Data[Asal],"Impactman")</f>
        <v>5</v>
      </c>
      <c r="M5" s="1">
        <f>COUNTIFS(Data[Departemen],C5,Data[Bulan],$M$2,Data[Asal],"Impactman")</f>
        <v>7</v>
      </c>
      <c r="N5" s="1">
        <f t="shared" si="1"/>
        <v>19</v>
      </c>
      <c r="P5" s="4" t="s">
        <v>11</v>
      </c>
      <c r="Q5" s="1">
        <f>COUNTIFS(Data[Departemen],J5,Data[Bulan],$K$2,Data[Asal],"Rangers")</f>
        <v>2</v>
      </c>
      <c r="R5" s="1">
        <f>COUNTIFS(Data[Departemen],J5,Data[Bulan],$L$2,Data[Asal],"Rangers")</f>
        <v>8</v>
      </c>
      <c r="S5" s="1">
        <f>COUNTIFS(Data[Departemen],J5,Data[Bulan],$M$2,Data[Asal],"Rangers")</f>
        <v>10</v>
      </c>
      <c r="T5" s="1">
        <f t="shared" si="2"/>
        <v>20</v>
      </c>
    </row>
    <row r="6" spans="1:20" x14ac:dyDescent="0.35">
      <c r="A6" t="str">
        <v>Finance</v>
      </c>
      <c r="C6" s="4" t="s">
        <v>12</v>
      </c>
      <c r="D6" s="1">
        <f>COUNTIFS(Data[Departemen],$C$6,Data[Bulan],D2)</f>
        <v>13</v>
      </c>
      <c r="E6" s="1">
        <f>COUNTIFS(Data[Departemen],$C$6,Data[Bulan],E2)</f>
        <v>26</v>
      </c>
      <c r="F6" s="1">
        <f>COUNTIFS(Data[Departemen],$C$6,Data[Bulan],F2)</f>
        <v>16</v>
      </c>
      <c r="G6" s="1">
        <f t="shared" si="0"/>
        <v>55</v>
      </c>
      <c r="H6" s="1"/>
      <c r="J6" s="4" t="s">
        <v>12</v>
      </c>
      <c r="K6" s="1">
        <f>COUNTIFS(Data[Departemen],C6,Data[Bulan],$K$2,Data[Asal],"Impactman")</f>
        <v>11</v>
      </c>
      <c r="L6" s="1">
        <f>COUNTIFS(Data[Departemen],C6,Data[Bulan],$L$2,Data[Asal],"Impactman")</f>
        <v>12</v>
      </c>
      <c r="M6" s="1">
        <f>COUNTIFS(Data[Departemen],C6,Data[Bulan],$M$2,Data[Asal],"Impactman")</f>
        <v>8</v>
      </c>
      <c r="N6" s="1">
        <f t="shared" si="1"/>
        <v>31</v>
      </c>
      <c r="P6" s="4" t="s">
        <v>12</v>
      </c>
      <c r="Q6" s="1">
        <f>COUNTIFS(Data[Departemen],J6,Data[Bulan],$K$2,Data[Asal],"Rangers")</f>
        <v>2</v>
      </c>
      <c r="R6" s="1">
        <f>COUNTIFS(Data[Departemen],J6,Data[Bulan],$L$2,Data[Asal],"Rangers")</f>
        <v>14</v>
      </c>
      <c r="S6" s="1">
        <f>COUNTIFS(Data[Departemen],J6,Data[Bulan],$M$2,Data[Asal],"Rangers")</f>
        <v>8</v>
      </c>
      <c r="T6" s="1">
        <f t="shared" si="2"/>
        <v>24</v>
      </c>
    </row>
    <row r="7" spans="1:20" x14ac:dyDescent="0.35">
      <c r="A7" t="str">
        <v>Administration</v>
      </c>
      <c r="C7" s="4" t="s">
        <v>13</v>
      </c>
      <c r="D7" s="1">
        <f>COUNTIFS(Data[Departemen],$C$7,Data[Bulan],D2)</f>
        <v>15</v>
      </c>
      <c r="E7" s="1">
        <f>COUNTIFS(Data[Departemen],$C$7,Data[Bulan],E2)</f>
        <v>24</v>
      </c>
      <c r="F7" s="1">
        <f>COUNTIFS(Data[Departemen],$C$7,Data[Bulan],F2)</f>
        <v>9</v>
      </c>
      <c r="G7" s="1">
        <f t="shared" si="0"/>
        <v>48</v>
      </c>
      <c r="H7" s="1"/>
      <c r="J7" s="4" t="s">
        <v>13</v>
      </c>
      <c r="K7" s="1">
        <f>COUNTIFS(Data[Departemen],C7,Data[Bulan],$K$2,Data[Asal],"Impactman")</f>
        <v>9</v>
      </c>
      <c r="L7" s="1">
        <f>COUNTIFS(Data[Departemen],C7,Data[Bulan],$L$2,Data[Asal],"Impactman")</f>
        <v>12</v>
      </c>
      <c r="M7" s="1">
        <f>COUNTIFS(Data[Departemen],C7,Data[Bulan],$M$2,Data[Asal],"Impactman")</f>
        <v>8</v>
      </c>
      <c r="N7" s="1">
        <f t="shared" si="1"/>
        <v>29</v>
      </c>
      <c r="P7" s="4" t="s">
        <v>13</v>
      </c>
      <c r="Q7" s="1">
        <f>COUNTIFS(Data[Departemen],J7,Data[Bulan],$K$2,Data[Asal],"Rangers")</f>
        <v>6</v>
      </c>
      <c r="R7" s="1">
        <f>COUNTIFS(Data[Departemen],J7,Data[Bulan],$L$2,Data[Asal],"Rangers")</f>
        <v>12</v>
      </c>
      <c r="S7" s="1">
        <f>COUNTIFS(Data[Departemen],J7,Data[Bulan],$M$2,Data[Asal],"Rangers")</f>
        <v>1</v>
      </c>
      <c r="T7" s="1">
        <f t="shared" si="2"/>
        <v>19</v>
      </c>
    </row>
    <row r="8" spans="1:20" x14ac:dyDescent="0.35">
      <c r="A8" t="str">
        <v>Public Relations</v>
      </c>
      <c r="C8" s="4" t="s">
        <v>14</v>
      </c>
      <c r="D8" s="1">
        <f>COUNTIFS(Data[Departemen],$C$8,Data[Bulan],D2)</f>
        <v>18</v>
      </c>
      <c r="E8" s="1">
        <f>COUNTIFS(Data[Departemen],$C$8,Data[Bulan],E2)</f>
        <v>16</v>
      </c>
      <c r="F8" s="1">
        <f>COUNTIFS(Data[Departemen],$C$8,Data[Bulan],F2)</f>
        <v>25</v>
      </c>
      <c r="G8" s="1">
        <f t="shared" si="0"/>
        <v>59</v>
      </c>
      <c r="H8" s="1"/>
      <c r="J8" s="4" t="s">
        <v>14</v>
      </c>
      <c r="K8" s="1">
        <f>COUNTIFS(Data[Departemen],C8,Data[Bulan],$K$2,Data[Asal],"Impactman")</f>
        <v>15</v>
      </c>
      <c r="L8" s="1">
        <f>COUNTIFS(Data[Departemen],C8,Data[Bulan],$L$2,Data[Asal],"Impactman")</f>
        <v>12</v>
      </c>
      <c r="M8" s="1">
        <f>COUNTIFS(Data[Departemen],C8,Data[Bulan],$M$2,Data[Asal],"Impactman")</f>
        <v>16</v>
      </c>
      <c r="N8" s="1">
        <f t="shared" si="1"/>
        <v>43</v>
      </c>
      <c r="P8" s="4" t="s">
        <v>14</v>
      </c>
      <c r="Q8" s="1">
        <f>COUNTIFS(Data[Departemen],J8,Data[Bulan],$K$2,Data[Asal],"Rangers")</f>
        <v>3</v>
      </c>
      <c r="R8" s="1">
        <f>COUNTIFS(Data[Departemen],J8,Data[Bulan],$L$2,Data[Asal],"Rangers")</f>
        <v>4</v>
      </c>
      <c r="S8" s="1">
        <f>COUNTIFS(Data[Departemen],J8,Data[Bulan],$M$2,Data[Asal],"Rangers")</f>
        <v>9</v>
      </c>
      <c r="T8" s="1">
        <f t="shared" si="2"/>
        <v>16</v>
      </c>
    </row>
    <row r="9" spans="1:20" x14ac:dyDescent="0.35">
      <c r="A9" t="str">
        <v>Creative</v>
      </c>
      <c r="C9" s="4" t="s">
        <v>15</v>
      </c>
      <c r="D9" s="1">
        <f>COUNTIFS(Data[Departemen],$C$9,Data[Bulan],D2)</f>
        <v>22</v>
      </c>
      <c r="E9" s="1">
        <f>COUNTIFS(Data[Departemen],$C$9,Data[Bulan],E2)</f>
        <v>17</v>
      </c>
      <c r="F9" s="1">
        <f>COUNTIFS(Data[Departemen],$C$9,Data[Bulan],F2)</f>
        <v>17</v>
      </c>
      <c r="G9" s="1">
        <f t="shared" si="0"/>
        <v>56</v>
      </c>
      <c r="H9" s="1"/>
      <c r="J9" s="4" t="s">
        <v>15</v>
      </c>
      <c r="K9" s="1">
        <f>COUNTIFS(Data[Departemen],C9,Data[Bulan],$K$2,Data[Asal],"Impactman")</f>
        <v>16</v>
      </c>
      <c r="L9" s="1">
        <f>COUNTIFS(Data[Departemen],C9,Data[Bulan],$L$2,Data[Asal],"Impactman")</f>
        <v>12</v>
      </c>
      <c r="M9" s="1">
        <f>COUNTIFS(Data[Departemen],C9,Data[Bulan],$M$2,Data[Asal],"Impactman")</f>
        <v>9</v>
      </c>
      <c r="N9" s="1">
        <f t="shared" si="1"/>
        <v>37</v>
      </c>
      <c r="P9" s="4" t="s">
        <v>15</v>
      </c>
      <c r="Q9" s="1">
        <f>COUNTIFS(Data[Departemen],J9,Data[Bulan],$K$2,Data[Asal],"Rangers")</f>
        <v>6</v>
      </c>
      <c r="R9" s="1">
        <f>COUNTIFS(Data[Departemen],J9,Data[Bulan],$L$2,Data[Asal],"Rangers")</f>
        <v>5</v>
      </c>
      <c r="S9" s="1">
        <f>COUNTIFS(Data[Departemen],J9,Data[Bulan],$M$2,Data[Asal],"Rangers")</f>
        <v>8</v>
      </c>
      <c r="T9" s="1">
        <f t="shared" si="2"/>
        <v>19</v>
      </c>
    </row>
    <row r="10" spans="1:20" x14ac:dyDescent="0.35">
      <c r="A10" t="str">
        <v>Technology</v>
      </c>
      <c r="C10" s="4" t="s">
        <v>16</v>
      </c>
      <c r="D10" s="1">
        <f>COUNTIFS(Data[Departemen],$C$10,Data[Bulan],D2)</f>
        <v>13</v>
      </c>
      <c r="E10" s="1">
        <f>COUNTIFS(Data[Departemen],$C$10,Data[Bulan],E2)</f>
        <v>15</v>
      </c>
      <c r="F10" s="1">
        <f>COUNTIFS(Data[Departemen],$C$10,Data[Bulan],F2)</f>
        <v>9</v>
      </c>
      <c r="G10" s="1">
        <f t="shared" si="0"/>
        <v>37</v>
      </c>
      <c r="H10" s="1"/>
      <c r="J10" s="4" t="s">
        <v>16</v>
      </c>
      <c r="K10" s="1">
        <f>COUNTIFS(Data[Departemen],C10,Data[Bulan],$K$2,Data[Asal],"Impactman")</f>
        <v>8</v>
      </c>
      <c r="L10" s="1">
        <f>COUNTIFS(Data[Departemen],C10,Data[Bulan],$L$2,Data[Asal],"Impactman")</f>
        <v>4</v>
      </c>
      <c r="M10" s="1">
        <f>COUNTIFS(Data[Departemen],C10,Data[Bulan],$M$2,Data[Asal],"Impactman")</f>
        <v>3</v>
      </c>
      <c r="N10" s="1">
        <f t="shared" si="1"/>
        <v>15</v>
      </c>
      <c r="P10" s="4" t="s">
        <v>16</v>
      </c>
      <c r="Q10" s="1">
        <f>COUNTIFS(Data[Departemen],J10,Data[Bulan],$K$2,Data[Asal],"Rangers")</f>
        <v>5</v>
      </c>
      <c r="R10" s="1">
        <f>COUNTIFS(Data[Departemen],J10,Data[Bulan],$L$2,Data[Asal],"Rangers")</f>
        <v>11</v>
      </c>
      <c r="S10" s="1">
        <f>COUNTIFS(Data[Departemen],J10,Data[Bulan],$M$2,Data[Asal],"Rangers")</f>
        <v>6</v>
      </c>
      <c r="T10" s="1">
        <f t="shared" si="2"/>
        <v>22</v>
      </c>
    </row>
    <row r="11" spans="1:20" x14ac:dyDescent="0.35">
      <c r="C11" s="18" t="s">
        <v>18</v>
      </c>
      <c r="D11" s="18"/>
      <c r="E11" s="18"/>
      <c r="F11" s="18"/>
      <c r="G11" s="6">
        <f>SUM(G3:G10)</f>
        <v>410</v>
      </c>
      <c r="H11" s="6"/>
      <c r="J11" s="18" t="s">
        <v>18</v>
      </c>
      <c r="K11" s="18"/>
      <c r="L11" s="18"/>
      <c r="M11" s="18"/>
      <c r="N11" s="6">
        <f>SUM(N3:N10)</f>
        <v>254</v>
      </c>
      <c r="P11" s="18" t="s">
        <v>18</v>
      </c>
      <c r="Q11" s="18"/>
      <c r="R11" s="18"/>
      <c r="S11" s="18"/>
      <c r="T11" s="6">
        <f>SUM(T3:T10)</f>
        <v>156</v>
      </c>
    </row>
    <row r="12" spans="1:20" x14ac:dyDescent="0.35">
      <c r="A12" t="str" cm="1">
        <f t="array" ref="A12:A14">_xlfn.UNIQUE(Data[Bulan])</f>
        <v>Maret</v>
      </c>
      <c r="D12" t="s">
        <v>6</v>
      </c>
      <c r="E12" t="s">
        <v>7</v>
      </c>
      <c r="H12" t="s">
        <v>6</v>
      </c>
      <c r="I12" t="s">
        <v>7</v>
      </c>
    </row>
    <row r="13" spans="1:20" x14ac:dyDescent="0.35">
      <c r="A13" t="str">
        <v>Mei</v>
      </c>
      <c r="C13" s="4" t="s">
        <v>4</v>
      </c>
      <c r="D13" s="1">
        <f>COUNTIFS(Data[Departemen],C13,Data[Asal],"Impactman",Data[Bulan],Dashboard!$B$7)</f>
        <v>13</v>
      </c>
      <c r="E13" s="1">
        <f>COUNTIFS(Data[Departemen],C13,Data[Asal],"Rangers",Data[Bulan],Dashboard!$B$7)</f>
        <v>6</v>
      </c>
      <c r="G13" t="s">
        <v>5</v>
      </c>
      <c r="H13">
        <f>COUNTIFS(Data[Bulan],G13,Data[Asal],$H$12,Data[Departemen],Dashboard!$H$7)</f>
        <v>9</v>
      </c>
      <c r="I13">
        <f>COUNTIFS(Data[Bulan],G13,Data[Asal],$I$12,Data[Departemen],Dashboard!$H$7)</f>
        <v>6</v>
      </c>
    </row>
    <row r="14" spans="1:20" x14ac:dyDescent="0.35">
      <c r="A14" t="str">
        <v>Juni</v>
      </c>
      <c r="C14" s="4" t="s">
        <v>10</v>
      </c>
      <c r="D14" s="1">
        <f>COUNTIFS(Data[Departemen],C14,Data[Asal],"Impactman",Data[Bulan],Dashboard!$B$7)</f>
        <v>6</v>
      </c>
      <c r="E14" s="1">
        <f>COUNTIFS(Data[Departemen],C14,Data[Asal],"Rangers",Data[Bulan],Dashboard!$B$7)</f>
        <v>10</v>
      </c>
      <c r="G14" t="s">
        <v>8</v>
      </c>
      <c r="H14">
        <f>COUNTIFS(Data[Bulan],G14,Data[Asal],$H$12,Data[Departemen],Dashboard!$H$7)</f>
        <v>12</v>
      </c>
      <c r="I14">
        <f>COUNTIFS(Data[Bulan],G14,Data[Asal],$I$12,Data[Departemen],Dashboard!$H$7)</f>
        <v>12</v>
      </c>
    </row>
    <row r="15" spans="1:20" x14ac:dyDescent="0.35">
      <c r="C15" s="4" t="s">
        <v>11</v>
      </c>
      <c r="D15" s="1">
        <f>COUNTIFS(Data[Departemen],C15,Data[Asal],"Impactman",Data[Bulan],Dashboard!$B$7)</f>
        <v>7</v>
      </c>
      <c r="E15" s="1">
        <f>COUNTIFS(Data[Departemen],C15,Data[Asal],"Rangers",Data[Bulan],Dashboard!$B$7)</f>
        <v>10</v>
      </c>
      <c r="G15" t="s">
        <v>9</v>
      </c>
      <c r="H15">
        <f>COUNTIFS(Data[Bulan],G15,Data[Asal],$H$12,Data[Departemen],Dashboard!$H$7)</f>
        <v>8</v>
      </c>
      <c r="I15">
        <f>COUNTIFS(Data[Bulan],G15,Data[Asal],$I$12,Data[Departemen],Dashboard!$H$7)</f>
        <v>1</v>
      </c>
    </row>
    <row r="16" spans="1:20" x14ac:dyDescent="0.35">
      <c r="A16" t="str" cm="1">
        <f t="array" ref="A16:A17">_xlfn.UNIQUE(Data[Asal])</f>
        <v>Impactman</v>
      </c>
      <c r="B16">
        <f>COUNTIFS(Data[Asal],A16)</f>
        <v>254</v>
      </c>
      <c r="C16" s="4" t="s">
        <v>12</v>
      </c>
      <c r="D16" s="1">
        <f>COUNTIFS(Data[Departemen],C16,Data[Asal],"Impactman",Data[Bulan],Dashboard!$B$7)</f>
        <v>8</v>
      </c>
      <c r="E16" s="1">
        <f>COUNTIFS(Data[Departemen],C16,Data[Asal],"Rangers",Data[Bulan],Dashboard!$B$7)</f>
        <v>8</v>
      </c>
    </row>
    <row r="17" spans="1:5" x14ac:dyDescent="0.35">
      <c r="A17" t="str">
        <v>Rangers</v>
      </c>
      <c r="B17">
        <f>COUNTIFS(Data[Asal],A17)</f>
        <v>156</v>
      </c>
      <c r="C17" s="4" t="s">
        <v>13</v>
      </c>
      <c r="D17" s="1">
        <f>COUNTIFS(Data[Departemen],C17,Data[Asal],"Impactman",Data[Bulan],Dashboard!$B$7)</f>
        <v>8</v>
      </c>
      <c r="E17" s="1">
        <f>COUNTIFS(Data[Departemen],C17,Data[Asal],"Rangers",Data[Bulan],Dashboard!$B$7)</f>
        <v>1</v>
      </c>
    </row>
    <row r="18" spans="1:5" x14ac:dyDescent="0.35">
      <c r="C18" s="4" t="s">
        <v>14</v>
      </c>
      <c r="D18" s="1">
        <f>COUNTIFS(Data[Departemen],C18,Data[Asal],"Impactman",Data[Bulan],Dashboard!$B$7)</f>
        <v>16</v>
      </c>
      <c r="E18" s="1">
        <f>COUNTIFS(Data[Departemen],C18,Data[Asal],"Rangers",Data[Bulan],Dashboard!$B$7)</f>
        <v>9</v>
      </c>
    </row>
    <row r="19" spans="1:5" x14ac:dyDescent="0.35">
      <c r="C19" s="4" t="s">
        <v>15</v>
      </c>
      <c r="D19" s="1">
        <f>COUNTIFS(Data[Departemen],C19,Data[Asal],"Impactman",Data[Bulan],Dashboard!$B$7)</f>
        <v>9</v>
      </c>
      <c r="E19" s="1">
        <f>COUNTIFS(Data[Departemen],C19,Data[Asal],"Rangers",Data[Bulan],Dashboard!$B$7)</f>
        <v>8</v>
      </c>
    </row>
    <row r="20" spans="1:5" x14ac:dyDescent="0.35">
      <c r="C20" s="4" t="s">
        <v>16</v>
      </c>
      <c r="D20" s="1">
        <f>COUNTIFS(Data[Departemen],C20,Data[Asal],"Impactman",Data[Bulan],Dashboard!$B$7)</f>
        <v>3</v>
      </c>
      <c r="E20" s="1">
        <f>COUNTIFS(Data[Departemen],C20,Data[Asal],"Rangers",Data[Bulan],Dashboard!$B$7)</f>
        <v>6</v>
      </c>
    </row>
  </sheetData>
  <mergeCells count="6">
    <mergeCell ref="C1:G1"/>
    <mergeCell ref="C11:F11"/>
    <mergeCell ref="J1:N1"/>
    <mergeCell ref="J11:M11"/>
    <mergeCell ref="P1:T1"/>
    <mergeCell ref="P11:S1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603CF-4E9B-4694-ABA5-98E02220B6DD}">
  <dimension ref="A3:D37"/>
  <sheetViews>
    <sheetView topLeftCell="B1" zoomScale="86" workbookViewId="0">
      <selection activeCell="I40" sqref="I40"/>
    </sheetView>
  </sheetViews>
  <sheetFormatPr defaultRowHeight="14.5" x14ac:dyDescent="0.35"/>
  <cols>
    <col min="1" max="1" width="16.26953125" bestFit="1" customWidth="1"/>
    <col min="2" max="2" width="10.453125" bestFit="1" customWidth="1"/>
    <col min="3" max="3" width="7.7265625" bestFit="1" customWidth="1"/>
    <col min="4" max="4" width="10.36328125" bestFit="1" customWidth="1"/>
  </cols>
  <sheetData>
    <row r="3" spans="1:4" x14ac:dyDescent="0.35">
      <c r="A3" s="3" t="s">
        <v>19</v>
      </c>
      <c r="B3" s="3" t="s">
        <v>20</v>
      </c>
      <c r="C3" s="3"/>
      <c r="D3" s="3"/>
    </row>
    <row r="4" spans="1:4" x14ac:dyDescent="0.35">
      <c r="A4" s="3" t="s">
        <v>20</v>
      </c>
      <c r="B4" s="11" t="s">
        <v>6</v>
      </c>
      <c r="C4" s="11" t="s">
        <v>7</v>
      </c>
      <c r="D4" s="3" t="s">
        <v>18</v>
      </c>
    </row>
    <row r="5" spans="1:4" x14ac:dyDescent="0.35">
      <c r="A5" s="1" t="s">
        <v>16</v>
      </c>
      <c r="B5" s="19">
        <v>15</v>
      </c>
      <c r="C5" s="19">
        <v>22</v>
      </c>
      <c r="D5" s="19">
        <v>37</v>
      </c>
    </row>
    <row r="6" spans="1:4" x14ac:dyDescent="0.35">
      <c r="A6" s="2" t="s">
        <v>5</v>
      </c>
      <c r="B6" s="19">
        <v>8</v>
      </c>
      <c r="C6" s="19">
        <v>5</v>
      </c>
      <c r="D6" s="19">
        <v>13</v>
      </c>
    </row>
    <row r="7" spans="1:4" x14ac:dyDescent="0.35">
      <c r="A7" s="2" t="s">
        <v>8</v>
      </c>
      <c r="B7" s="19">
        <v>4</v>
      </c>
      <c r="C7" s="19">
        <v>11</v>
      </c>
      <c r="D7" s="19">
        <v>15</v>
      </c>
    </row>
    <row r="8" spans="1:4" x14ac:dyDescent="0.35">
      <c r="A8" s="2" t="s">
        <v>9</v>
      </c>
      <c r="B8" s="19">
        <v>3</v>
      </c>
      <c r="C8" s="19">
        <v>6</v>
      </c>
      <c r="D8" s="19">
        <v>9</v>
      </c>
    </row>
    <row r="9" spans="1:4" x14ac:dyDescent="0.35">
      <c r="A9" s="1" t="s">
        <v>11</v>
      </c>
      <c r="B9" s="19">
        <v>19</v>
      </c>
      <c r="C9" s="19">
        <v>20</v>
      </c>
      <c r="D9" s="19">
        <v>39</v>
      </c>
    </row>
    <row r="10" spans="1:4" x14ac:dyDescent="0.35">
      <c r="A10" s="2" t="s">
        <v>5</v>
      </c>
      <c r="B10" s="19">
        <v>7</v>
      </c>
      <c r="C10" s="19">
        <v>2</v>
      </c>
      <c r="D10" s="19">
        <v>9</v>
      </c>
    </row>
    <row r="11" spans="1:4" x14ac:dyDescent="0.35">
      <c r="A11" s="2" t="s">
        <v>8</v>
      </c>
      <c r="B11" s="19">
        <v>5</v>
      </c>
      <c r="C11" s="19">
        <v>8</v>
      </c>
      <c r="D11" s="19">
        <v>13</v>
      </c>
    </row>
    <row r="12" spans="1:4" x14ac:dyDescent="0.35">
      <c r="A12" s="2" t="s">
        <v>9</v>
      </c>
      <c r="B12" s="19">
        <v>7</v>
      </c>
      <c r="C12" s="19">
        <v>10</v>
      </c>
      <c r="D12" s="19">
        <v>17</v>
      </c>
    </row>
    <row r="13" spans="1:4" x14ac:dyDescent="0.35">
      <c r="A13" s="1" t="s">
        <v>13</v>
      </c>
      <c r="B13" s="19">
        <v>29</v>
      </c>
      <c r="C13" s="19">
        <v>19</v>
      </c>
      <c r="D13" s="19">
        <v>48</v>
      </c>
    </row>
    <row r="14" spans="1:4" x14ac:dyDescent="0.35">
      <c r="A14" s="2" t="s">
        <v>5</v>
      </c>
      <c r="B14" s="19">
        <v>9</v>
      </c>
      <c r="C14" s="19">
        <v>6</v>
      </c>
      <c r="D14" s="19">
        <v>15</v>
      </c>
    </row>
    <row r="15" spans="1:4" x14ac:dyDescent="0.35">
      <c r="A15" s="2" t="s">
        <v>8</v>
      </c>
      <c r="B15" s="19">
        <v>12</v>
      </c>
      <c r="C15" s="19">
        <v>12</v>
      </c>
      <c r="D15" s="19">
        <v>24</v>
      </c>
    </row>
    <row r="16" spans="1:4" x14ac:dyDescent="0.35">
      <c r="A16" s="2" t="s">
        <v>9</v>
      </c>
      <c r="B16" s="19">
        <v>8</v>
      </c>
      <c r="C16" s="19">
        <v>1</v>
      </c>
      <c r="D16" s="19">
        <v>9</v>
      </c>
    </row>
    <row r="17" spans="1:4" x14ac:dyDescent="0.35">
      <c r="A17" s="1" t="s">
        <v>10</v>
      </c>
      <c r="B17" s="19">
        <v>30</v>
      </c>
      <c r="C17" s="19">
        <v>20</v>
      </c>
      <c r="D17" s="19">
        <v>50</v>
      </c>
    </row>
    <row r="18" spans="1:4" x14ac:dyDescent="0.35">
      <c r="A18" s="2" t="s">
        <v>5</v>
      </c>
      <c r="B18" s="19">
        <v>9</v>
      </c>
      <c r="C18" s="19">
        <v>3</v>
      </c>
      <c r="D18" s="19">
        <v>12</v>
      </c>
    </row>
    <row r="19" spans="1:4" x14ac:dyDescent="0.35">
      <c r="A19" s="2" t="s">
        <v>8</v>
      </c>
      <c r="B19" s="19">
        <v>15</v>
      </c>
      <c r="C19" s="19">
        <v>7</v>
      </c>
      <c r="D19" s="19">
        <v>22</v>
      </c>
    </row>
    <row r="20" spans="1:4" x14ac:dyDescent="0.35">
      <c r="A20" s="2" t="s">
        <v>9</v>
      </c>
      <c r="B20" s="19">
        <v>6</v>
      </c>
      <c r="C20" s="19">
        <v>10</v>
      </c>
      <c r="D20" s="19">
        <v>16</v>
      </c>
    </row>
    <row r="21" spans="1:4" x14ac:dyDescent="0.35">
      <c r="A21" s="1" t="s">
        <v>12</v>
      </c>
      <c r="B21" s="19">
        <v>31</v>
      </c>
      <c r="C21" s="19">
        <v>24</v>
      </c>
      <c r="D21" s="19">
        <v>55</v>
      </c>
    </row>
    <row r="22" spans="1:4" x14ac:dyDescent="0.35">
      <c r="A22" s="2" t="s">
        <v>5</v>
      </c>
      <c r="B22" s="19">
        <v>11</v>
      </c>
      <c r="C22" s="19">
        <v>2</v>
      </c>
      <c r="D22" s="19">
        <v>13</v>
      </c>
    </row>
    <row r="23" spans="1:4" x14ac:dyDescent="0.35">
      <c r="A23" s="2" t="s">
        <v>8</v>
      </c>
      <c r="B23" s="19">
        <v>12</v>
      </c>
      <c r="C23" s="19">
        <v>14</v>
      </c>
      <c r="D23" s="19">
        <v>26</v>
      </c>
    </row>
    <row r="24" spans="1:4" x14ac:dyDescent="0.35">
      <c r="A24" s="2" t="s">
        <v>9</v>
      </c>
      <c r="B24" s="19">
        <v>8</v>
      </c>
      <c r="C24" s="19">
        <v>8</v>
      </c>
      <c r="D24" s="19">
        <v>16</v>
      </c>
    </row>
    <row r="25" spans="1:4" x14ac:dyDescent="0.35">
      <c r="A25" s="1" t="s">
        <v>15</v>
      </c>
      <c r="B25" s="19">
        <v>37</v>
      </c>
      <c r="C25" s="19">
        <v>19</v>
      </c>
      <c r="D25" s="19">
        <v>56</v>
      </c>
    </row>
    <row r="26" spans="1:4" x14ac:dyDescent="0.35">
      <c r="A26" s="2" t="s">
        <v>5</v>
      </c>
      <c r="B26" s="19">
        <v>16</v>
      </c>
      <c r="C26" s="19">
        <v>6</v>
      </c>
      <c r="D26" s="19">
        <v>22</v>
      </c>
    </row>
    <row r="27" spans="1:4" x14ac:dyDescent="0.35">
      <c r="A27" s="2" t="s">
        <v>8</v>
      </c>
      <c r="B27" s="19">
        <v>12</v>
      </c>
      <c r="C27" s="19">
        <v>5</v>
      </c>
      <c r="D27" s="19">
        <v>17</v>
      </c>
    </row>
    <row r="28" spans="1:4" x14ac:dyDescent="0.35">
      <c r="A28" s="2" t="s">
        <v>9</v>
      </c>
      <c r="B28" s="19">
        <v>9</v>
      </c>
      <c r="C28" s="19">
        <v>8</v>
      </c>
      <c r="D28" s="19">
        <v>17</v>
      </c>
    </row>
    <row r="29" spans="1:4" x14ac:dyDescent="0.35">
      <c r="A29" s="1" t="s">
        <v>14</v>
      </c>
      <c r="B29" s="19">
        <v>43</v>
      </c>
      <c r="C29" s="19">
        <v>16</v>
      </c>
      <c r="D29" s="19">
        <v>59</v>
      </c>
    </row>
    <row r="30" spans="1:4" x14ac:dyDescent="0.35">
      <c r="A30" s="2" t="s">
        <v>5</v>
      </c>
      <c r="B30" s="19">
        <v>15</v>
      </c>
      <c r="C30" s="19">
        <v>3</v>
      </c>
      <c r="D30" s="19">
        <v>18</v>
      </c>
    </row>
    <row r="31" spans="1:4" x14ac:dyDescent="0.35">
      <c r="A31" s="2" t="s">
        <v>8</v>
      </c>
      <c r="B31" s="19">
        <v>12</v>
      </c>
      <c r="C31" s="19">
        <v>4</v>
      </c>
      <c r="D31" s="19">
        <v>16</v>
      </c>
    </row>
    <row r="32" spans="1:4" x14ac:dyDescent="0.35">
      <c r="A32" s="2" t="s">
        <v>9</v>
      </c>
      <c r="B32" s="19">
        <v>16</v>
      </c>
      <c r="C32" s="19">
        <v>9</v>
      </c>
      <c r="D32" s="19">
        <v>25</v>
      </c>
    </row>
    <row r="33" spans="1:4" x14ac:dyDescent="0.35">
      <c r="A33" s="1" t="s">
        <v>4</v>
      </c>
      <c r="B33" s="19">
        <v>50</v>
      </c>
      <c r="C33" s="19">
        <v>16</v>
      </c>
      <c r="D33" s="19">
        <v>66</v>
      </c>
    </row>
    <row r="34" spans="1:4" x14ac:dyDescent="0.35">
      <c r="A34" s="2" t="s">
        <v>5</v>
      </c>
      <c r="B34" s="19">
        <v>18</v>
      </c>
      <c r="C34" s="19">
        <v>2</v>
      </c>
      <c r="D34" s="19">
        <v>20</v>
      </c>
    </row>
    <row r="35" spans="1:4" x14ac:dyDescent="0.35">
      <c r="A35" s="2" t="s">
        <v>8</v>
      </c>
      <c r="B35" s="19">
        <v>19</v>
      </c>
      <c r="C35" s="19">
        <v>8</v>
      </c>
      <c r="D35" s="19">
        <v>27</v>
      </c>
    </row>
    <row r="36" spans="1:4" x14ac:dyDescent="0.35">
      <c r="A36" s="2" t="s">
        <v>9</v>
      </c>
      <c r="B36" s="19">
        <v>13</v>
      </c>
      <c r="C36" s="19">
        <v>6</v>
      </c>
      <c r="D36" s="19">
        <v>19</v>
      </c>
    </row>
    <row r="37" spans="1:4" x14ac:dyDescent="0.35">
      <c r="A37" s="1" t="s">
        <v>18</v>
      </c>
      <c r="B37" s="19">
        <v>254</v>
      </c>
      <c r="C37" s="19">
        <v>156</v>
      </c>
      <c r="D37" s="19">
        <v>410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567AD-BD47-479D-ABC7-92E88B211B56}">
  <dimension ref="A1:D411"/>
  <sheetViews>
    <sheetView topLeftCell="A2" zoomScale="81" workbookViewId="0">
      <selection activeCell="B11" sqref="B11"/>
    </sheetView>
  </sheetViews>
  <sheetFormatPr defaultRowHeight="14.5" x14ac:dyDescent="0.35"/>
  <cols>
    <col min="1" max="1" width="13.1796875" customWidth="1"/>
    <col min="3" max="3" width="33.6328125" customWidth="1"/>
    <col min="4" max="4" width="10" bestFit="1" customWidth="1"/>
  </cols>
  <sheetData>
    <row r="1" spans="1:4" x14ac:dyDescent="0.35">
      <c r="A1" t="s">
        <v>0</v>
      </c>
      <c r="B1" t="s">
        <v>1</v>
      </c>
      <c r="C1" t="s">
        <v>2</v>
      </c>
      <c r="D1" t="s">
        <v>3</v>
      </c>
    </row>
    <row r="2" spans="1:4" x14ac:dyDescent="0.35">
      <c r="A2" t="s">
        <v>4</v>
      </c>
      <c r="B2" t="s">
        <v>5</v>
      </c>
      <c r="C2" t="s">
        <v>17</v>
      </c>
      <c r="D2" t="s">
        <v>6</v>
      </c>
    </row>
    <row r="3" spans="1:4" x14ac:dyDescent="0.35">
      <c r="A3" t="s">
        <v>4</v>
      </c>
      <c r="B3" t="s">
        <v>5</v>
      </c>
      <c r="C3" t="s">
        <v>17</v>
      </c>
      <c r="D3" t="s">
        <v>6</v>
      </c>
    </row>
    <row r="4" spans="1:4" x14ac:dyDescent="0.35">
      <c r="A4" t="s">
        <v>4</v>
      </c>
      <c r="B4" t="s">
        <v>5</v>
      </c>
      <c r="C4" t="s">
        <v>17</v>
      </c>
      <c r="D4" t="s">
        <v>6</v>
      </c>
    </row>
    <row r="5" spans="1:4" x14ac:dyDescent="0.35">
      <c r="A5" t="s">
        <v>4</v>
      </c>
      <c r="B5" t="s">
        <v>5</v>
      </c>
      <c r="C5" t="s">
        <v>17</v>
      </c>
      <c r="D5" t="s">
        <v>6</v>
      </c>
    </row>
    <row r="6" spans="1:4" x14ac:dyDescent="0.35">
      <c r="A6" t="s">
        <v>4</v>
      </c>
      <c r="B6" t="s">
        <v>5</v>
      </c>
      <c r="C6" t="s">
        <v>17</v>
      </c>
      <c r="D6" t="s">
        <v>6</v>
      </c>
    </row>
    <row r="7" spans="1:4" x14ac:dyDescent="0.35">
      <c r="A7" t="s">
        <v>4</v>
      </c>
      <c r="B7" t="s">
        <v>5</v>
      </c>
      <c r="C7" t="s">
        <v>17</v>
      </c>
      <c r="D7" t="s">
        <v>6</v>
      </c>
    </row>
    <row r="8" spans="1:4" x14ac:dyDescent="0.35">
      <c r="A8" t="s">
        <v>4</v>
      </c>
      <c r="B8" t="s">
        <v>5</v>
      </c>
      <c r="C8" t="s">
        <v>17</v>
      </c>
      <c r="D8" t="s">
        <v>6</v>
      </c>
    </row>
    <row r="9" spans="1:4" x14ac:dyDescent="0.35">
      <c r="A9" t="s">
        <v>4</v>
      </c>
      <c r="B9" t="s">
        <v>5</v>
      </c>
      <c r="C9" t="s">
        <v>17</v>
      </c>
      <c r="D9" t="s">
        <v>6</v>
      </c>
    </row>
    <row r="10" spans="1:4" x14ac:dyDescent="0.35">
      <c r="A10" t="s">
        <v>4</v>
      </c>
      <c r="B10" t="s">
        <v>5</v>
      </c>
      <c r="C10" t="s">
        <v>17</v>
      </c>
      <c r="D10" t="s">
        <v>7</v>
      </c>
    </row>
    <row r="11" spans="1:4" x14ac:dyDescent="0.35">
      <c r="A11" t="s">
        <v>4</v>
      </c>
      <c r="B11" t="s">
        <v>5</v>
      </c>
      <c r="C11" t="s">
        <v>17</v>
      </c>
      <c r="D11" t="s">
        <v>6</v>
      </c>
    </row>
    <row r="12" spans="1:4" x14ac:dyDescent="0.35">
      <c r="A12" t="s">
        <v>4</v>
      </c>
      <c r="B12" t="s">
        <v>5</v>
      </c>
      <c r="C12" t="s">
        <v>17</v>
      </c>
      <c r="D12" t="s">
        <v>6</v>
      </c>
    </row>
    <row r="13" spans="1:4" x14ac:dyDescent="0.35">
      <c r="A13" t="s">
        <v>4</v>
      </c>
      <c r="B13" t="s">
        <v>5</v>
      </c>
      <c r="C13" t="s">
        <v>17</v>
      </c>
      <c r="D13" t="s">
        <v>6</v>
      </c>
    </row>
    <row r="14" spans="1:4" x14ac:dyDescent="0.35">
      <c r="A14" t="s">
        <v>4</v>
      </c>
      <c r="B14" t="s">
        <v>5</v>
      </c>
      <c r="C14" t="s">
        <v>17</v>
      </c>
      <c r="D14" t="s">
        <v>6</v>
      </c>
    </row>
    <row r="15" spans="1:4" x14ac:dyDescent="0.35">
      <c r="A15" t="s">
        <v>4</v>
      </c>
      <c r="B15" t="s">
        <v>5</v>
      </c>
      <c r="C15" t="s">
        <v>17</v>
      </c>
      <c r="D15" t="s">
        <v>6</v>
      </c>
    </row>
    <row r="16" spans="1:4" x14ac:dyDescent="0.35">
      <c r="A16" t="s">
        <v>4</v>
      </c>
      <c r="B16" t="s">
        <v>5</v>
      </c>
      <c r="C16" t="s">
        <v>17</v>
      </c>
      <c r="D16" t="s">
        <v>6</v>
      </c>
    </row>
    <row r="17" spans="1:4" x14ac:dyDescent="0.35">
      <c r="A17" t="s">
        <v>4</v>
      </c>
      <c r="B17" t="s">
        <v>5</v>
      </c>
      <c r="C17" t="s">
        <v>17</v>
      </c>
      <c r="D17" t="s">
        <v>6</v>
      </c>
    </row>
    <row r="18" spans="1:4" x14ac:dyDescent="0.35">
      <c r="A18" t="s">
        <v>4</v>
      </c>
      <c r="B18" t="s">
        <v>5</v>
      </c>
      <c r="C18" t="s">
        <v>17</v>
      </c>
      <c r="D18" t="s">
        <v>6</v>
      </c>
    </row>
    <row r="19" spans="1:4" x14ac:dyDescent="0.35">
      <c r="A19" t="s">
        <v>4</v>
      </c>
      <c r="B19" t="s">
        <v>5</v>
      </c>
      <c r="C19" t="s">
        <v>17</v>
      </c>
      <c r="D19" t="s">
        <v>7</v>
      </c>
    </row>
    <row r="20" spans="1:4" x14ac:dyDescent="0.35">
      <c r="A20" t="s">
        <v>4</v>
      </c>
      <c r="B20" t="s">
        <v>5</v>
      </c>
      <c r="C20" t="s">
        <v>17</v>
      </c>
      <c r="D20" t="s">
        <v>6</v>
      </c>
    </row>
    <row r="21" spans="1:4" x14ac:dyDescent="0.35">
      <c r="A21" t="s">
        <v>4</v>
      </c>
      <c r="B21" t="s">
        <v>5</v>
      </c>
      <c r="C21" t="s">
        <v>17</v>
      </c>
      <c r="D21" t="s">
        <v>6</v>
      </c>
    </row>
    <row r="22" spans="1:4" x14ac:dyDescent="0.35">
      <c r="A22" t="s">
        <v>4</v>
      </c>
      <c r="B22" t="s">
        <v>8</v>
      </c>
      <c r="C22" t="s">
        <v>17</v>
      </c>
      <c r="D22" t="s">
        <v>6</v>
      </c>
    </row>
    <row r="23" spans="1:4" x14ac:dyDescent="0.35">
      <c r="A23" t="s">
        <v>4</v>
      </c>
      <c r="B23" t="s">
        <v>8</v>
      </c>
      <c r="C23" t="s">
        <v>17</v>
      </c>
      <c r="D23" t="s">
        <v>7</v>
      </c>
    </row>
    <row r="24" spans="1:4" x14ac:dyDescent="0.35">
      <c r="A24" t="s">
        <v>4</v>
      </c>
      <c r="B24" t="s">
        <v>8</v>
      </c>
      <c r="C24" t="s">
        <v>17</v>
      </c>
      <c r="D24" t="s">
        <v>6</v>
      </c>
    </row>
    <row r="25" spans="1:4" x14ac:dyDescent="0.35">
      <c r="A25" t="s">
        <v>4</v>
      </c>
      <c r="B25" t="s">
        <v>8</v>
      </c>
      <c r="C25" t="s">
        <v>17</v>
      </c>
      <c r="D25" t="s">
        <v>7</v>
      </c>
    </row>
    <row r="26" spans="1:4" x14ac:dyDescent="0.35">
      <c r="A26" t="s">
        <v>4</v>
      </c>
      <c r="B26" t="s">
        <v>8</v>
      </c>
      <c r="C26" t="s">
        <v>17</v>
      </c>
      <c r="D26" t="s">
        <v>6</v>
      </c>
    </row>
    <row r="27" spans="1:4" x14ac:dyDescent="0.35">
      <c r="A27" t="s">
        <v>4</v>
      </c>
      <c r="B27" t="s">
        <v>8</v>
      </c>
      <c r="C27" t="s">
        <v>17</v>
      </c>
      <c r="D27" t="s">
        <v>6</v>
      </c>
    </row>
    <row r="28" spans="1:4" x14ac:dyDescent="0.35">
      <c r="A28" t="s">
        <v>4</v>
      </c>
      <c r="B28" t="s">
        <v>8</v>
      </c>
      <c r="C28" t="s">
        <v>17</v>
      </c>
      <c r="D28" t="s">
        <v>6</v>
      </c>
    </row>
    <row r="29" spans="1:4" x14ac:dyDescent="0.35">
      <c r="A29" t="s">
        <v>4</v>
      </c>
      <c r="B29" t="s">
        <v>8</v>
      </c>
      <c r="C29" t="s">
        <v>17</v>
      </c>
      <c r="D29" t="s">
        <v>6</v>
      </c>
    </row>
    <row r="30" spans="1:4" x14ac:dyDescent="0.35">
      <c r="A30" t="s">
        <v>4</v>
      </c>
      <c r="B30" t="s">
        <v>8</v>
      </c>
      <c r="C30" t="s">
        <v>17</v>
      </c>
      <c r="D30" t="s">
        <v>6</v>
      </c>
    </row>
    <row r="31" spans="1:4" x14ac:dyDescent="0.35">
      <c r="A31" t="s">
        <v>4</v>
      </c>
      <c r="B31" t="s">
        <v>8</v>
      </c>
      <c r="C31" t="s">
        <v>17</v>
      </c>
      <c r="D31" t="s">
        <v>6</v>
      </c>
    </row>
    <row r="32" spans="1:4" x14ac:dyDescent="0.35">
      <c r="A32" t="s">
        <v>4</v>
      </c>
      <c r="B32" t="s">
        <v>8</v>
      </c>
      <c r="C32" t="s">
        <v>17</v>
      </c>
      <c r="D32" t="s">
        <v>7</v>
      </c>
    </row>
    <row r="33" spans="1:4" x14ac:dyDescent="0.35">
      <c r="A33" t="s">
        <v>4</v>
      </c>
      <c r="B33" t="s">
        <v>8</v>
      </c>
      <c r="C33" t="s">
        <v>17</v>
      </c>
      <c r="D33" t="s">
        <v>7</v>
      </c>
    </row>
    <row r="34" spans="1:4" x14ac:dyDescent="0.35">
      <c r="A34" t="s">
        <v>4</v>
      </c>
      <c r="B34" t="s">
        <v>8</v>
      </c>
      <c r="C34" t="s">
        <v>17</v>
      </c>
      <c r="D34" t="s">
        <v>6</v>
      </c>
    </row>
    <row r="35" spans="1:4" x14ac:dyDescent="0.35">
      <c r="A35" t="s">
        <v>4</v>
      </c>
      <c r="B35" t="s">
        <v>8</v>
      </c>
      <c r="C35" t="s">
        <v>17</v>
      </c>
      <c r="D35" t="s">
        <v>6</v>
      </c>
    </row>
    <row r="36" spans="1:4" x14ac:dyDescent="0.35">
      <c r="A36" t="s">
        <v>4</v>
      </c>
      <c r="B36" t="s">
        <v>8</v>
      </c>
      <c r="C36" t="s">
        <v>17</v>
      </c>
      <c r="D36" t="s">
        <v>7</v>
      </c>
    </row>
    <row r="37" spans="1:4" x14ac:dyDescent="0.35">
      <c r="A37" t="s">
        <v>4</v>
      </c>
      <c r="B37" t="s">
        <v>8</v>
      </c>
      <c r="C37" t="s">
        <v>17</v>
      </c>
      <c r="D37" t="s">
        <v>6</v>
      </c>
    </row>
    <row r="38" spans="1:4" x14ac:dyDescent="0.35">
      <c r="A38" t="s">
        <v>4</v>
      </c>
      <c r="B38" t="s">
        <v>8</v>
      </c>
      <c r="C38" t="s">
        <v>17</v>
      </c>
      <c r="D38" t="s">
        <v>6</v>
      </c>
    </row>
    <row r="39" spans="1:4" x14ac:dyDescent="0.35">
      <c r="A39" t="s">
        <v>4</v>
      </c>
      <c r="B39" t="s">
        <v>8</v>
      </c>
      <c r="C39" t="s">
        <v>17</v>
      </c>
      <c r="D39" t="s">
        <v>7</v>
      </c>
    </row>
    <row r="40" spans="1:4" x14ac:dyDescent="0.35">
      <c r="A40" t="s">
        <v>4</v>
      </c>
      <c r="B40" t="s">
        <v>8</v>
      </c>
      <c r="C40" t="s">
        <v>17</v>
      </c>
      <c r="D40" t="s">
        <v>7</v>
      </c>
    </row>
    <row r="41" spans="1:4" x14ac:dyDescent="0.35">
      <c r="A41" t="s">
        <v>4</v>
      </c>
      <c r="B41" t="s">
        <v>8</v>
      </c>
      <c r="C41" t="s">
        <v>17</v>
      </c>
      <c r="D41" t="s">
        <v>6</v>
      </c>
    </row>
    <row r="42" spans="1:4" x14ac:dyDescent="0.35">
      <c r="A42" t="s">
        <v>4</v>
      </c>
      <c r="B42" t="s">
        <v>8</v>
      </c>
      <c r="C42" t="s">
        <v>17</v>
      </c>
      <c r="D42" t="s">
        <v>6</v>
      </c>
    </row>
    <row r="43" spans="1:4" x14ac:dyDescent="0.35">
      <c r="A43" t="s">
        <v>4</v>
      </c>
      <c r="B43" t="s">
        <v>8</v>
      </c>
      <c r="C43" t="s">
        <v>17</v>
      </c>
      <c r="D43" t="s">
        <v>6</v>
      </c>
    </row>
    <row r="44" spans="1:4" x14ac:dyDescent="0.35">
      <c r="A44" t="s">
        <v>4</v>
      </c>
      <c r="B44" t="s">
        <v>8</v>
      </c>
      <c r="C44" t="s">
        <v>17</v>
      </c>
      <c r="D44" t="s">
        <v>7</v>
      </c>
    </row>
    <row r="45" spans="1:4" x14ac:dyDescent="0.35">
      <c r="A45" t="s">
        <v>4</v>
      </c>
      <c r="B45" t="s">
        <v>8</v>
      </c>
      <c r="C45" t="s">
        <v>17</v>
      </c>
      <c r="D45" t="s">
        <v>6</v>
      </c>
    </row>
    <row r="46" spans="1:4" x14ac:dyDescent="0.35">
      <c r="A46" t="s">
        <v>4</v>
      </c>
      <c r="B46" t="s">
        <v>8</v>
      </c>
      <c r="C46" t="s">
        <v>17</v>
      </c>
      <c r="D46" t="s">
        <v>6</v>
      </c>
    </row>
    <row r="47" spans="1:4" x14ac:dyDescent="0.35">
      <c r="A47" t="s">
        <v>4</v>
      </c>
      <c r="B47" t="s">
        <v>8</v>
      </c>
      <c r="C47" t="s">
        <v>17</v>
      </c>
      <c r="D47" t="s">
        <v>6</v>
      </c>
    </row>
    <row r="48" spans="1:4" x14ac:dyDescent="0.35">
      <c r="A48" t="s">
        <v>4</v>
      </c>
      <c r="B48" t="s">
        <v>8</v>
      </c>
      <c r="C48" t="s">
        <v>17</v>
      </c>
      <c r="D48" t="s">
        <v>6</v>
      </c>
    </row>
    <row r="49" spans="1:4" x14ac:dyDescent="0.35">
      <c r="A49" t="s">
        <v>4</v>
      </c>
      <c r="B49" t="s">
        <v>9</v>
      </c>
      <c r="C49" t="s">
        <v>17</v>
      </c>
      <c r="D49" t="s">
        <v>6</v>
      </c>
    </row>
    <row r="50" spans="1:4" x14ac:dyDescent="0.35">
      <c r="A50" t="s">
        <v>4</v>
      </c>
      <c r="B50" t="s">
        <v>9</v>
      </c>
      <c r="C50" t="s">
        <v>17</v>
      </c>
      <c r="D50" t="s">
        <v>6</v>
      </c>
    </row>
    <row r="51" spans="1:4" x14ac:dyDescent="0.35">
      <c r="A51" t="s">
        <v>4</v>
      </c>
      <c r="B51" t="s">
        <v>9</v>
      </c>
      <c r="C51" t="s">
        <v>17</v>
      </c>
      <c r="D51" t="s">
        <v>6</v>
      </c>
    </row>
    <row r="52" spans="1:4" x14ac:dyDescent="0.35">
      <c r="A52" t="s">
        <v>4</v>
      </c>
      <c r="B52" t="s">
        <v>9</v>
      </c>
      <c r="C52" t="s">
        <v>17</v>
      </c>
      <c r="D52" t="s">
        <v>7</v>
      </c>
    </row>
    <row r="53" spans="1:4" x14ac:dyDescent="0.35">
      <c r="A53" t="s">
        <v>4</v>
      </c>
      <c r="B53" t="s">
        <v>9</v>
      </c>
      <c r="C53" t="s">
        <v>17</v>
      </c>
      <c r="D53" t="s">
        <v>6</v>
      </c>
    </row>
    <row r="54" spans="1:4" x14ac:dyDescent="0.35">
      <c r="A54" t="s">
        <v>4</v>
      </c>
      <c r="B54" t="s">
        <v>9</v>
      </c>
      <c r="C54" t="s">
        <v>17</v>
      </c>
      <c r="D54" t="s">
        <v>6</v>
      </c>
    </row>
    <row r="55" spans="1:4" x14ac:dyDescent="0.35">
      <c r="A55" t="s">
        <v>4</v>
      </c>
      <c r="B55" t="s">
        <v>9</v>
      </c>
      <c r="C55" t="s">
        <v>17</v>
      </c>
      <c r="D55" t="s">
        <v>6</v>
      </c>
    </row>
    <row r="56" spans="1:4" x14ac:dyDescent="0.35">
      <c r="A56" t="s">
        <v>4</v>
      </c>
      <c r="B56" t="s">
        <v>9</v>
      </c>
      <c r="C56" t="s">
        <v>17</v>
      </c>
      <c r="D56" t="s">
        <v>7</v>
      </c>
    </row>
    <row r="57" spans="1:4" x14ac:dyDescent="0.35">
      <c r="A57" t="s">
        <v>4</v>
      </c>
      <c r="B57" t="s">
        <v>9</v>
      </c>
      <c r="C57" t="s">
        <v>17</v>
      </c>
      <c r="D57" t="s">
        <v>6</v>
      </c>
    </row>
    <row r="58" spans="1:4" x14ac:dyDescent="0.35">
      <c r="A58" t="s">
        <v>4</v>
      </c>
      <c r="B58" t="s">
        <v>9</v>
      </c>
      <c r="C58" t="s">
        <v>17</v>
      </c>
      <c r="D58" t="s">
        <v>7</v>
      </c>
    </row>
    <row r="59" spans="1:4" x14ac:dyDescent="0.35">
      <c r="A59" t="s">
        <v>4</v>
      </c>
      <c r="B59" t="s">
        <v>9</v>
      </c>
      <c r="C59" t="s">
        <v>17</v>
      </c>
      <c r="D59" t="s">
        <v>6</v>
      </c>
    </row>
    <row r="60" spans="1:4" x14ac:dyDescent="0.35">
      <c r="A60" t="s">
        <v>4</v>
      </c>
      <c r="B60" t="s">
        <v>9</v>
      </c>
      <c r="C60" t="s">
        <v>17</v>
      </c>
      <c r="D60" t="s">
        <v>7</v>
      </c>
    </row>
    <row r="61" spans="1:4" x14ac:dyDescent="0.35">
      <c r="A61" t="s">
        <v>4</v>
      </c>
      <c r="B61" t="s">
        <v>9</v>
      </c>
      <c r="C61" t="s">
        <v>17</v>
      </c>
      <c r="D61" t="s">
        <v>7</v>
      </c>
    </row>
    <row r="62" spans="1:4" x14ac:dyDescent="0.35">
      <c r="A62" t="s">
        <v>4</v>
      </c>
      <c r="B62" t="s">
        <v>9</v>
      </c>
      <c r="C62" t="s">
        <v>17</v>
      </c>
      <c r="D62" t="s">
        <v>7</v>
      </c>
    </row>
    <row r="63" spans="1:4" x14ac:dyDescent="0.35">
      <c r="A63" t="s">
        <v>4</v>
      </c>
      <c r="B63" t="s">
        <v>9</v>
      </c>
      <c r="C63" t="s">
        <v>17</v>
      </c>
      <c r="D63" t="s">
        <v>6</v>
      </c>
    </row>
    <row r="64" spans="1:4" x14ac:dyDescent="0.35">
      <c r="A64" t="s">
        <v>4</v>
      </c>
      <c r="B64" t="s">
        <v>9</v>
      </c>
      <c r="C64" t="s">
        <v>17</v>
      </c>
      <c r="D64" t="s">
        <v>6</v>
      </c>
    </row>
    <row r="65" spans="1:4" x14ac:dyDescent="0.35">
      <c r="A65" t="s">
        <v>4</v>
      </c>
      <c r="B65" t="s">
        <v>9</v>
      </c>
      <c r="C65" t="s">
        <v>17</v>
      </c>
      <c r="D65" t="s">
        <v>6</v>
      </c>
    </row>
    <row r="66" spans="1:4" x14ac:dyDescent="0.35">
      <c r="A66" t="s">
        <v>4</v>
      </c>
      <c r="B66" t="s">
        <v>9</v>
      </c>
      <c r="C66" t="s">
        <v>17</v>
      </c>
      <c r="D66" t="s">
        <v>6</v>
      </c>
    </row>
    <row r="67" spans="1:4" x14ac:dyDescent="0.35">
      <c r="A67" t="s">
        <v>4</v>
      </c>
      <c r="B67" t="s">
        <v>9</v>
      </c>
      <c r="C67" t="s">
        <v>17</v>
      </c>
      <c r="D67" t="s">
        <v>6</v>
      </c>
    </row>
    <row r="68" spans="1:4" x14ac:dyDescent="0.35">
      <c r="A68" t="s">
        <v>10</v>
      </c>
      <c r="B68" t="s">
        <v>5</v>
      </c>
      <c r="C68" t="s">
        <v>17</v>
      </c>
      <c r="D68" t="s">
        <v>6</v>
      </c>
    </row>
    <row r="69" spans="1:4" x14ac:dyDescent="0.35">
      <c r="A69" t="s">
        <v>10</v>
      </c>
      <c r="B69" t="s">
        <v>5</v>
      </c>
      <c r="C69" t="s">
        <v>17</v>
      </c>
      <c r="D69" t="s">
        <v>6</v>
      </c>
    </row>
    <row r="70" spans="1:4" x14ac:dyDescent="0.35">
      <c r="A70" t="s">
        <v>10</v>
      </c>
      <c r="B70" t="s">
        <v>5</v>
      </c>
      <c r="C70" t="s">
        <v>17</v>
      </c>
      <c r="D70" t="s">
        <v>6</v>
      </c>
    </row>
    <row r="71" spans="1:4" x14ac:dyDescent="0.35">
      <c r="A71" t="s">
        <v>10</v>
      </c>
      <c r="B71" t="s">
        <v>5</v>
      </c>
      <c r="C71" t="s">
        <v>17</v>
      </c>
      <c r="D71" t="s">
        <v>6</v>
      </c>
    </row>
    <row r="72" spans="1:4" x14ac:dyDescent="0.35">
      <c r="A72" t="s">
        <v>10</v>
      </c>
      <c r="B72" t="s">
        <v>5</v>
      </c>
      <c r="C72" t="s">
        <v>17</v>
      </c>
      <c r="D72" t="s">
        <v>6</v>
      </c>
    </row>
    <row r="73" spans="1:4" x14ac:dyDescent="0.35">
      <c r="A73" t="s">
        <v>10</v>
      </c>
      <c r="B73" t="s">
        <v>5</v>
      </c>
      <c r="C73" t="s">
        <v>17</v>
      </c>
      <c r="D73" t="s">
        <v>6</v>
      </c>
    </row>
    <row r="74" spans="1:4" x14ac:dyDescent="0.35">
      <c r="A74" t="s">
        <v>10</v>
      </c>
      <c r="B74" t="s">
        <v>5</v>
      </c>
      <c r="C74" t="s">
        <v>17</v>
      </c>
      <c r="D74" t="s">
        <v>6</v>
      </c>
    </row>
    <row r="75" spans="1:4" x14ac:dyDescent="0.35">
      <c r="A75" t="s">
        <v>10</v>
      </c>
      <c r="B75" t="s">
        <v>5</v>
      </c>
      <c r="C75" t="s">
        <v>17</v>
      </c>
      <c r="D75" t="s">
        <v>6</v>
      </c>
    </row>
    <row r="76" spans="1:4" x14ac:dyDescent="0.35">
      <c r="A76" t="s">
        <v>10</v>
      </c>
      <c r="B76" t="s">
        <v>5</v>
      </c>
      <c r="C76" t="s">
        <v>17</v>
      </c>
      <c r="D76" t="s">
        <v>6</v>
      </c>
    </row>
    <row r="77" spans="1:4" x14ac:dyDescent="0.35">
      <c r="A77" t="s">
        <v>10</v>
      </c>
      <c r="B77" t="s">
        <v>5</v>
      </c>
      <c r="C77" t="s">
        <v>17</v>
      </c>
      <c r="D77" t="s">
        <v>7</v>
      </c>
    </row>
    <row r="78" spans="1:4" x14ac:dyDescent="0.35">
      <c r="A78" t="s">
        <v>10</v>
      </c>
      <c r="B78" t="s">
        <v>5</v>
      </c>
      <c r="C78" t="s">
        <v>17</v>
      </c>
      <c r="D78" t="s">
        <v>7</v>
      </c>
    </row>
    <row r="79" spans="1:4" x14ac:dyDescent="0.35">
      <c r="A79" t="s">
        <v>10</v>
      </c>
      <c r="B79" t="s">
        <v>5</v>
      </c>
      <c r="C79" t="s">
        <v>17</v>
      </c>
      <c r="D79" t="s">
        <v>7</v>
      </c>
    </row>
    <row r="80" spans="1:4" x14ac:dyDescent="0.35">
      <c r="A80" t="s">
        <v>10</v>
      </c>
      <c r="B80" t="s">
        <v>8</v>
      </c>
      <c r="C80" t="s">
        <v>17</v>
      </c>
      <c r="D80" t="s">
        <v>6</v>
      </c>
    </row>
    <row r="81" spans="1:4" x14ac:dyDescent="0.35">
      <c r="A81" t="s">
        <v>10</v>
      </c>
      <c r="B81" t="s">
        <v>8</v>
      </c>
      <c r="C81" t="s">
        <v>17</v>
      </c>
      <c r="D81" t="s">
        <v>6</v>
      </c>
    </row>
    <row r="82" spans="1:4" x14ac:dyDescent="0.35">
      <c r="A82" t="s">
        <v>10</v>
      </c>
      <c r="B82" t="s">
        <v>8</v>
      </c>
      <c r="C82" t="s">
        <v>17</v>
      </c>
      <c r="D82" t="s">
        <v>6</v>
      </c>
    </row>
    <row r="83" spans="1:4" x14ac:dyDescent="0.35">
      <c r="A83" t="s">
        <v>10</v>
      </c>
      <c r="B83" t="s">
        <v>8</v>
      </c>
      <c r="C83" t="s">
        <v>17</v>
      </c>
      <c r="D83" t="s">
        <v>6</v>
      </c>
    </row>
    <row r="84" spans="1:4" x14ac:dyDescent="0.35">
      <c r="A84" t="s">
        <v>10</v>
      </c>
      <c r="B84" t="s">
        <v>8</v>
      </c>
      <c r="C84" t="s">
        <v>17</v>
      </c>
      <c r="D84" t="s">
        <v>6</v>
      </c>
    </row>
    <row r="85" spans="1:4" x14ac:dyDescent="0.35">
      <c r="A85" t="s">
        <v>10</v>
      </c>
      <c r="B85" t="s">
        <v>8</v>
      </c>
      <c r="C85" t="s">
        <v>17</v>
      </c>
      <c r="D85" t="s">
        <v>6</v>
      </c>
    </row>
    <row r="86" spans="1:4" x14ac:dyDescent="0.35">
      <c r="A86" t="s">
        <v>10</v>
      </c>
      <c r="B86" t="s">
        <v>8</v>
      </c>
      <c r="C86" t="s">
        <v>17</v>
      </c>
      <c r="D86" t="s">
        <v>6</v>
      </c>
    </row>
    <row r="87" spans="1:4" x14ac:dyDescent="0.35">
      <c r="A87" t="s">
        <v>10</v>
      </c>
      <c r="B87" t="s">
        <v>8</v>
      </c>
      <c r="C87" t="s">
        <v>17</v>
      </c>
      <c r="D87" t="s">
        <v>7</v>
      </c>
    </row>
    <row r="88" spans="1:4" x14ac:dyDescent="0.35">
      <c r="A88" t="s">
        <v>10</v>
      </c>
      <c r="B88" t="s">
        <v>8</v>
      </c>
      <c r="C88" t="s">
        <v>17</v>
      </c>
      <c r="D88" t="s">
        <v>6</v>
      </c>
    </row>
    <row r="89" spans="1:4" x14ac:dyDescent="0.35">
      <c r="A89" t="s">
        <v>10</v>
      </c>
      <c r="B89" t="s">
        <v>8</v>
      </c>
      <c r="C89" t="s">
        <v>17</v>
      </c>
      <c r="D89" t="s">
        <v>7</v>
      </c>
    </row>
    <row r="90" spans="1:4" x14ac:dyDescent="0.35">
      <c r="A90" t="s">
        <v>10</v>
      </c>
      <c r="B90" t="s">
        <v>8</v>
      </c>
      <c r="C90" t="s">
        <v>17</v>
      </c>
      <c r="D90" t="s">
        <v>6</v>
      </c>
    </row>
    <row r="91" spans="1:4" x14ac:dyDescent="0.35">
      <c r="A91" t="s">
        <v>10</v>
      </c>
      <c r="B91" t="s">
        <v>8</v>
      </c>
      <c r="C91" t="s">
        <v>17</v>
      </c>
      <c r="D91" t="s">
        <v>7</v>
      </c>
    </row>
    <row r="92" spans="1:4" x14ac:dyDescent="0.35">
      <c r="A92" t="s">
        <v>10</v>
      </c>
      <c r="B92" t="s">
        <v>8</v>
      </c>
      <c r="C92" t="s">
        <v>17</v>
      </c>
      <c r="D92" t="s">
        <v>7</v>
      </c>
    </row>
    <row r="93" spans="1:4" x14ac:dyDescent="0.35">
      <c r="A93" t="s">
        <v>10</v>
      </c>
      <c r="B93" t="s">
        <v>8</v>
      </c>
      <c r="C93" t="s">
        <v>17</v>
      </c>
      <c r="D93" t="s">
        <v>6</v>
      </c>
    </row>
    <row r="94" spans="1:4" x14ac:dyDescent="0.35">
      <c r="A94" t="s">
        <v>10</v>
      </c>
      <c r="B94" t="s">
        <v>8</v>
      </c>
      <c r="C94" t="s">
        <v>17</v>
      </c>
      <c r="D94" t="s">
        <v>6</v>
      </c>
    </row>
    <row r="95" spans="1:4" x14ac:dyDescent="0.35">
      <c r="A95" t="s">
        <v>10</v>
      </c>
      <c r="B95" t="s">
        <v>8</v>
      </c>
      <c r="C95" t="s">
        <v>17</v>
      </c>
      <c r="D95" t="s">
        <v>7</v>
      </c>
    </row>
    <row r="96" spans="1:4" x14ac:dyDescent="0.35">
      <c r="A96" t="s">
        <v>10</v>
      </c>
      <c r="B96" t="s">
        <v>8</v>
      </c>
      <c r="C96" t="s">
        <v>17</v>
      </c>
      <c r="D96" t="s">
        <v>6</v>
      </c>
    </row>
    <row r="97" spans="1:4" x14ac:dyDescent="0.35">
      <c r="A97" t="s">
        <v>10</v>
      </c>
      <c r="B97" t="s">
        <v>8</v>
      </c>
      <c r="C97" t="s">
        <v>17</v>
      </c>
      <c r="D97" t="s">
        <v>7</v>
      </c>
    </row>
    <row r="98" spans="1:4" x14ac:dyDescent="0.35">
      <c r="A98" t="s">
        <v>10</v>
      </c>
      <c r="B98" t="s">
        <v>8</v>
      </c>
      <c r="C98" t="s">
        <v>17</v>
      </c>
      <c r="D98" t="s">
        <v>6</v>
      </c>
    </row>
    <row r="99" spans="1:4" x14ac:dyDescent="0.35">
      <c r="A99" t="s">
        <v>10</v>
      </c>
      <c r="B99" t="s">
        <v>8</v>
      </c>
      <c r="C99" t="s">
        <v>17</v>
      </c>
      <c r="D99" t="s">
        <v>6</v>
      </c>
    </row>
    <row r="100" spans="1:4" x14ac:dyDescent="0.35">
      <c r="A100" t="s">
        <v>10</v>
      </c>
      <c r="B100" t="s">
        <v>8</v>
      </c>
      <c r="C100" t="s">
        <v>17</v>
      </c>
      <c r="D100" t="s">
        <v>6</v>
      </c>
    </row>
    <row r="101" spans="1:4" x14ac:dyDescent="0.35">
      <c r="A101" t="s">
        <v>10</v>
      </c>
      <c r="B101" t="s">
        <v>8</v>
      </c>
      <c r="C101" t="s">
        <v>17</v>
      </c>
      <c r="D101" t="s">
        <v>7</v>
      </c>
    </row>
    <row r="102" spans="1:4" x14ac:dyDescent="0.35">
      <c r="A102" t="s">
        <v>10</v>
      </c>
      <c r="B102" t="s">
        <v>9</v>
      </c>
      <c r="C102" t="s">
        <v>17</v>
      </c>
      <c r="D102" t="s">
        <v>6</v>
      </c>
    </row>
    <row r="103" spans="1:4" x14ac:dyDescent="0.35">
      <c r="A103" t="s">
        <v>10</v>
      </c>
      <c r="B103" t="s">
        <v>9</v>
      </c>
      <c r="C103" t="s">
        <v>17</v>
      </c>
      <c r="D103" t="s">
        <v>6</v>
      </c>
    </row>
    <row r="104" spans="1:4" x14ac:dyDescent="0.35">
      <c r="A104" t="s">
        <v>10</v>
      </c>
      <c r="B104" t="s">
        <v>9</v>
      </c>
      <c r="C104" t="s">
        <v>17</v>
      </c>
      <c r="D104" t="s">
        <v>6</v>
      </c>
    </row>
    <row r="105" spans="1:4" x14ac:dyDescent="0.35">
      <c r="A105" t="s">
        <v>10</v>
      </c>
      <c r="B105" t="s">
        <v>9</v>
      </c>
      <c r="C105" t="s">
        <v>17</v>
      </c>
      <c r="D105" t="s">
        <v>6</v>
      </c>
    </row>
    <row r="106" spans="1:4" x14ac:dyDescent="0.35">
      <c r="A106" t="s">
        <v>10</v>
      </c>
      <c r="B106" t="s">
        <v>9</v>
      </c>
      <c r="C106" t="s">
        <v>17</v>
      </c>
      <c r="D106" t="s">
        <v>6</v>
      </c>
    </row>
    <row r="107" spans="1:4" x14ac:dyDescent="0.35">
      <c r="A107" t="s">
        <v>10</v>
      </c>
      <c r="B107" t="s">
        <v>9</v>
      </c>
      <c r="C107" t="s">
        <v>17</v>
      </c>
      <c r="D107" t="s">
        <v>6</v>
      </c>
    </row>
    <row r="108" spans="1:4" x14ac:dyDescent="0.35">
      <c r="A108" t="s">
        <v>10</v>
      </c>
      <c r="B108" t="s">
        <v>9</v>
      </c>
      <c r="C108" t="s">
        <v>17</v>
      </c>
      <c r="D108" t="s">
        <v>7</v>
      </c>
    </row>
    <row r="109" spans="1:4" x14ac:dyDescent="0.35">
      <c r="A109" t="s">
        <v>10</v>
      </c>
      <c r="B109" t="s">
        <v>9</v>
      </c>
      <c r="C109" t="s">
        <v>17</v>
      </c>
      <c r="D109" t="s">
        <v>7</v>
      </c>
    </row>
    <row r="110" spans="1:4" x14ac:dyDescent="0.35">
      <c r="A110" t="s">
        <v>10</v>
      </c>
      <c r="B110" t="s">
        <v>9</v>
      </c>
      <c r="C110" t="s">
        <v>17</v>
      </c>
      <c r="D110" t="s">
        <v>7</v>
      </c>
    </row>
    <row r="111" spans="1:4" x14ac:dyDescent="0.35">
      <c r="A111" t="s">
        <v>10</v>
      </c>
      <c r="B111" t="s">
        <v>9</v>
      </c>
      <c r="C111" t="s">
        <v>17</v>
      </c>
      <c r="D111" t="s">
        <v>7</v>
      </c>
    </row>
    <row r="112" spans="1:4" x14ac:dyDescent="0.35">
      <c r="A112" t="s">
        <v>10</v>
      </c>
      <c r="B112" t="s">
        <v>9</v>
      </c>
      <c r="C112" t="s">
        <v>17</v>
      </c>
      <c r="D112" t="s">
        <v>7</v>
      </c>
    </row>
    <row r="113" spans="1:4" x14ac:dyDescent="0.35">
      <c r="A113" t="s">
        <v>10</v>
      </c>
      <c r="B113" t="s">
        <v>9</v>
      </c>
      <c r="C113" t="s">
        <v>17</v>
      </c>
      <c r="D113" t="s">
        <v>7</v>
      </c>
    </row>
    <row r="114" spans="1:4" x14ac:dyDescent="0.35">
      <c r="A114" t="s">
        <v>10</v>
      </c>
      <c r="B114" t="s">
        <v>9</v>
      </c>
      <c r="C114" t="s">
        <v>17</v>
      </c>
      <c r="D114" t="s">
        <v>7</v>
      </c>
    </row>
    <row r="115" spans="1:4" x14ac:dyDescent="0.35">
      <c r="A115" t="s">
        <v>10</v>
      </c>
      <c r="B115" t="s">
        <v>9</v>
      </c>
      <c r="C115" t="s">
        <v>17</v>
      </c>
      <c r="D115" t="s">
        <v>7</v>
      </c>
    </row>
    <row r="116" spans="1:4" x14ac:dyDescent="0.35">
      <c r="A116" t="s">
        <v>10</v>
      </c>
      <c r="B116" t="s">
        <v>9</v>
      </c>
      <c r="C116" t="s">
        <v>17</v>
      </c>
      <c r="D116" t="s">
        <v>7</v>
      </c>
    </row>
    <row r="117" spans="1:4" x14ac:dyDescent="0.35">
      <c r="A117" t="s">
        <v>10</v>
      </c>
      <c r="B117" t="s">
        <v>9</v>
      </c>
      <c r="C117" t="s">
        <v>17</v>
      </c>
      <c r="D117" t="s">
        <v>7</v>
      </c>
    </row>
    <row r="118" spans="1:4" x14ac:dyDescent="0.35">
      <c r="A118" t="s">
        <v>11</v>
      </c>
      <c r="B118" t="s">
        <v>5</v>
      </c>
      <c r="C118" t="s">
        <v>17</v>
      </c>
      <c r="D118" t="s">
        <v>7</v>
      </c>
    </row>
    <row r="119" spans="1:4" x14ac:dyDescent="0.35">
      <c r="A119" t="s">
        <v>11</v>
      </c>
      <c r="B119" t="s">
        <v>5</v>
      </c>
      <c r="C119" t="s">
        <v>17</v>
      </c>
      <c r="D119" t="s">
        <v>6</v>
      </c>
    </row>
    <row r="120" spans="1:4" x14ac:dyDescent="0.35">
      <c r="A120" t="s">
        <v>11</v>
      </c>
      <c r="B120" t="s">
        <v>5</v>
      </c>
      <c r="C120" t="s">
        <v>17</v>
      </c>
      <c r="D120" t="s">
        <v>6</v>
      </c>
    </row>
    <row r="121" spans="1:4" x14ac:dyDescent="0.35">
      <c r="A121" t="s">
        <v>11</v>
      </c>
      <c r="B121" t="s">
        <v>5</v>
      </c>
      <c r="C121" t="s">
        <v>17</v>
      </c>
      <c r="D121" t="s">
        <v>6</v>
      </c>
    </row>
    <row r="122" spans="1:4" x14ac:dyDescent="0.35">
      <c r="A122" t="s">
        <v>11</v>
      </c>
      <c r="B122" t="s">
        <v>5</v>
      </c>
      <c r="C122" t="s">
        <v>17</v>
      </c>
      <c r="D122" t="s">
        <v>6</v>
      </c>
    </row>
    <row r="123" spans="1:4" x14ac:dyDescent="0.35">
      <c r="A123" t="s">
        <v>11</v>
      </c>
      <c r="B123" t="s">
        <v>5</v>
      </c>
      <c r="C123" t="s">
        <v>17</v>
      </c>
      <c r="D123" t="s">
        <v>6</v>
      </c>
    </row>
    <row r="124" spans="1:4" x14ac:dyDescent="0.35">
      <c r="A124" t="s">
        <v>11</v>
      </c>
      <c r="B124" t="s">
        <v>5</v>
      </c>
      <c r="C124" t="s">
        <v>17</v>
      </c>
      <c r="D124" t="s">
        <v>7</v>
      </c>
    </row>
    <row r="125" spans="1:4" x14ac:dyDescent="0.35">
      <c r="A125" t="s">
        <v>11</v>
      </c>
      <c r="B125" t="s">
        <v>5</v>
      </c>
      <c r="C125" t="s">
        <v>17</v>
      </c>
      <c r="D125" t="s">
        <v>6</v>
      </c>
    </row>
    <row r="126" spans="1:4" x14ac:dyDescent="0.35">
      <c r="A126" t="s">
        <v>11</v>
      </c>
      <c r="B126" t="s">
        <v>5</v>
      </c>
      <c r="C126" t="s">
        <v>17</v>
      </c>
      <c r="D126" t="s">
        <v>6</v>
      </c>
    </row>
    <row r="127" spans="1:4" x14ac:dyDescent="0.35">
      <c r="A127" t="s">
        <v>11</v>
      </c>
      <c r="B127" t="s">
        <v>8</v>
      </c>
      <c r="C127" t="s">
        <v>17</v>
      </c>
      <c r="D127" t="s">
        <v>6</v>
      </c>
    </row>
    <row r="128" spans="1:4" x14ac:dyDescent="0.35">
      <c r="A128" t="s">
        <v>11</v>
      </c>
      <c r="B128" t="s">
        <v>8</v>
      </c>
      <c r="C128" t="s">
        <v>17</v>
      </c>
      <c r="D128" t="s">
        <v>7</v>
      </c>
    </row>
    <row r="129" spans="1:4" x14ac:dyDescent="0.35">
      <c r="A129" t="s">
        <v>11</v>
      </c>
      <c r="B129" t="s">
        <v>8</v>
      </c>
      <c r="C129" t="s">
        <v>17</v>
      </c>
      <c r="D129" t="s">
        <v>7</v>
      </c>
    </row>
    <row r="130" spans="1:4" x14ac:dyDescent="0.35">
      <c r="A130" t="s">
        <v>11</v>
      </c>
      <c r="B130" t="s">
        <v>8</v>
      </c>
      <c r="C130" t="s">
        <v>17</v>
      </c>
      <c r="D130" t="s">
        <v>7</v>
      </c>
    </row>
    <row r="131" spans="1:4" x14ac:dyDescent="0.35">
      <c r="A131" t="s">
        <v>11</v>
      </c>
      <c r="B131" t="s">
        <v>8</v>
      </c>
      <c r="C131" t="s">
        <v>17</v>
      </c>
      <c r="D131" t="s">
        <v>6</v>
      </c>
    </row>
    <row r="132" spans="1:4" x14ac:dyDescent="0.35">
      <c r="A132" t="s">
        <v>11</v>
      </c>
      <c r="B132" t="s">
        <v>8</v>
      </c>
      <c r="C132" t="s">
        <v>17</v>
      </c>
      <c r="D132" t="s">
        <v>6</v>
      </c>
    </row>
    <row r="133" spans="1:4" x14ac:dyDescent="0.35">
      <c r="A133" t="s">
        <v>11</v>
      </c>
      <c r="B133" t="s">
        <v>8</v>
      </c>
      <c r="C133" t="s">
        <v>17</v>
      </c>
      <c r="D133" t="s">
        <v>7</v>
      </c>
    </row>
    <row r="134" spans="1:4" x14ac:dyDescent="0.35">
      <c r="A134" t="s">
        <v>11</v>
      </c>
      <c r="B134" t="s">
        <v>8</v>
      </c>
      <c r="C134" t="s">
        <v>17</v>
      </c>
      <c r="D134" t="s">
        <v>7</v>
      </c>
    </row>
    <row r="135" spans="1:4" x14ac:dyDescent="0.35">
      <c r="A135" t="s">
        <v>11</v>
      </c>
      <c r="B135" t="s">
        <v>8</v>
      </c>
      <c r="C135" t="s">
        <v>17</v>
      </c>
      <c r="D135" t="s">
        <v>7</v>
      </c>
    </row>
    <row r="136" spans="1:4" x14ac:dyDescent="0.35">
      <c r="A136" t="s">
        <v>11</v>
      </c>
      <c r="B136" t="s">
        <v>8</v>
      </c>
      <c r="C136" t="s">
        <v>17</v>
      </c>
      <c r="D136" t="s">
        <v>6</v>
      </c>
    </row>
    <row r="137" spans="1:4" x14ac:dyDescent="0.35">
      <c r="A137" t="s">
        <v>11</v>
      </c>
      <c r="B137" t="s">
        <v>8</v>
      </c>
      <c r="C137" t="s">
        <v>17</v>
      </c>
      <c r="D137" t="s">
        <v>6</v>
      </c>
    </row>
    <row r="138" spans="1:4" x14ac:dyDescent="0.35">
      <c r="A138" t="s">
        <v>11</v>
      </c>
      <c r="B138" t="s">
        <v>8</v>
      </c>
      <c r="C138" t="s">
        <v>17</v>
      </c>
      <c r="D138" t="s">
        <v>7</v>
      </c>
    </row>
    <row r="139" spans="1:4" x14ac:dyDescent="0.35">
      <c r="A139" t="s">
        <v>11</v>
      </c>
      <c r="B139" t="s">
        <v>8</v>
      </c>
      <c r="C139" t="s">
        <v>17</v>
      </c>
      <c r="D139" t="s">
        <v>7</v>
      </c>
    </row>
    <row r="140" spans="1:4" x14ac:dyDescent="0.35">
      <c r="A140" t="s">
        <v>11</v>
      </c>
      <c r="B140" t="s">
        <v>9</v>
      </c>
      <c r="C140" t="s">
        <v>17</v>
      </c>
      <c r="D140" t="s">
        <v>6</v>
      </c>
    </row>
    <row r="141" spans="1:4" x14ac:dyDescent="0.35">
      <c r="A141" t="s">
        <v>11</v>
      </c>
      <c r="B141" t="s">
        <v>9</v>
      </c>
      <c r="C141" t="s">
        <v>17</v>
      </c>
      <c r="D141" t="s">
        <v>6</v>
      </c>
    </row>
    <row r="142" spans="1:4" x14ac:dyDescent="0.35">
      <c r="A142" t="s">
        <v>11</v>
      </c>
      <c r="B142" t="s">
        <v>9</v>
      </c>
      <c r="C142" t="s">
        <v>17</v>
      </c>
      <c r="D142" t="s">
        <v>6</v>
      </c>
    </row>
    <row r="143" spans="1:4" x14ac:dyDescent="0.35">
      <c r="A143" t="s">
        <v>11</v>
      </c>
      <c r="B143" t="s">
        <v>9</v>
      </c>
      <c r="C143" t="s">
        <v>17</v>
      </c>
      <c r="D143" t="s">
        <v>6</v>
      </c>
    </row>
    <row r="144" spans="1:4" x14ac:dyDescent="0.35">
      <c r="A144" t="s">
        <v>11</v>
      </c>
      <c r="B144" t="s">
        <v>9</v>
      </c>
      <c r="C144" t="s">
        <v>17</v>
      </c>
      <c r="D144" t="s">
        <v>6</v>
      </c>
    </row>
    <row r="145" spans="1:4" x14ac:dyDescent="0.35">
      <c r="A145" t="s">
        <v>11</v>
      </c>
      <c r="B145" t="s">
        <v>9</v>
      </c>
      <c r="C145" t="s">
        <v>17</v>
      </c>
      <c r="D145" t="s">
        <v>6</v>
      </c>
    </row>
    <row r="146" spans="1:4" x14ac:dyDescent="0.35">
      <c r="A146" t="s">
        <v>11</v>
      </c>
      <c r="B146" t="s">
        <v>9</v>
      </c>
      <c r="C146" t="s">
        <v>17</v>
      </c>
      <c r="D146" t="s">
        <v>6</v>
      </c>
    </row>
    <row r="147" spans="1:4" x14ac:dyDescent="0.35">
      <c r="A147" t="s">
        <v>11</v>
      </c>
      <c r="B147" t="s">
        <v>9</v>
      </c>
      <c r="C147" t="s">
        <v>17</v>
      </c>
      <c r="D147" t="s">
        <v>7</v>
      </c>
    </row>
    <row r="148" spans="1:4" x14ac:dyDescent="0.35">
      <c r="A148" t="s">
        <v>11</v>
      </c>
      <c r="B148" t="s">
        <v>9</v>
      </c>
      <c r="C148" t="s">
        <v>17</v>
      </c>
      <c r="D148" t="s">
        <v>7</v>
      </c>
    </row>
    <row r="149" spans="1:4" x14ac:dyDescent="0.35">
      <c r="A149" t="s">
        <v>11</v>
      </c>
      <c r="B149" t="s">
        <v>9</v>
      </c>
      <c r="C149" t="s">
        <v>17</v>
      </c>
      <c r="D149" t="s">
        <v>7</v>
      </c>
    </row>
    <row r="150" spans="1:4" x14ac:dyDescent="0.35">
      <c r="A150" t="s">
        <v>11</v>
      </c>
      <c r="B150" t="s">
        <v>9</v>
      </c>
      <c r="C150" t="s">
        <v>17</v>
      </c>
      <c r="D150" t="s">
        <v>7</v>
      </c>
    </row>
    <row r="151" spans="1:4" x14ac:dyDescent="0.35">
      <c r="A151" t="s">
        <v>11</v>
      </c>
      <c r="B151" t="s">
        <v>9</v>
      </c>
      <c r="C151" t="s">
        <v>17</v>
      </c>
      <c r="D151" t="s">
        <v>7</v>
      </c>
    </row>
    <row r="152" spans="1:4" x14ac:dyDescent="0.35">
      <c r="A152" t="s">
        <v>11</v>
      </c>
      <c r="B152" t="s">
        <v>9</v>
      </c>
      <c r="C152" t="s">
        <v>17</v>
      </c>
      <c r="D152" t="s">
        <v>7</v>
      </c>
    </row>
    <row r="153" spans="1:4" x14ac:dyDescent="0.35">
      <c r="A153" t="s">
        <v>11</v>
      </c>
      <c r="B153" t="s">
        <v>9</v>
      </c>
      <c r="C153" t="s">
        <v>17</v>
      </c>
      <c r="D153" t="s">
        <v>7</v>
      </c>
    </row>
    <row r="154" spans="1:4" x14ac:dyDescent="0.35">
      <c r="A154" t="s">
        <v>11</v>
      </c>
      <c r="B154" t="s">
        <v>9</v>
      </c>
      <c r="C154" t="s">
        <v>17</v>
      </c>
      <c r="D154" t="s">
        <v>7</v>
      </c>
    </row>
    <row r="155" spans="1:4" x14ac:dyDescent="0.35">
      <c r="A155" t="s">
        <v>11</v>
      </c>
      <c r="B155" t="s">
        <v>9</v>
      </c>
      <c r="C155" t="s">
        <v>17</v>
      </c>
      <c r="D155" t="s">
        <v>7</v>
      </c>
    </row>
    <row r="156" spans="1:4" x14ac:dyDescent="0.35">
      <c r="A156" t="s">
        <v>11</v>
      </c>
      <c r="B156" t="s">
        <v>9</v>
      </c>
      <c r="C156" t="s">
        <v>17</v>
      </c>
      <c r="D156" t="s">
        <v>7</v>
      </c>
    </row>
    <row r="157" spans="1:4" x14ac:dyDescent="0.35">
      <c r="A157" t="s">
        <v>12</v>
      </c>
      <c r="B157" t="s">
        <v>5</v>
      </c>
      <c r="C157" t="s">
        <v>17</v>
      </c>
      <c r="D157" t="s">
        <v>6</v>
      </c>
    </row>
    <row r="158" spans="1:4" x14ac:dyDescent="0.35">
      <c r="A158" t="s">
        <v>12</v>
      </c>
      <c r="B158" t="s">
        <v>5</v>
      </c>
      <c r="C158" t="s">
        <v>17</v>
      </c>
      <c r="D158" t="s">
        <v>6</v>
      </c>
    </row>
    <row r="159" spans="1:4" x14ac:dyDescent="0.35">
      <c r="A159" t="s">
        <v>12</v>
      </c>
      <c r="B159" t="s">
        <v>5</v>
      </c>
      <c r="C159" t="s">
        <v>17</v>
      </c>
      <c r="D159" t="s">
        <v>6</v>
      </c>
    </row>
    <row r="160" spans="1:4" x14ac:dyDescent="0.35">
      <c r="A160" t="s">
        <v>12</v>
      </c>
      <c r="B160" t="s">
        <v>5</v>
      </c>
      <c r="C160" t="s">
        <v>17</v>
      </c>
      <c r="D160" t="s">
        <v>6</v>
      </c>
    </row>
    <row r="161" spans="1:4" x14ac:dyDescent="0.35">
      <c r="A161" t="s">
        <v>12</v>
      </c>
      <c r="B161" t="s">
        <v>5</v>
      </c>
      <c r="C161" t="s">
        <v>17</v>
      </c>
      <c r="D161" t="s">
        <v>6</v>
      </c>
    </row>
    <row r="162" spans="1:4" x14ac:dyDescent="0.35">
      <c r="A162" t="s">
        <v>12</v>
      </c>
      <c r="B162" t="s">
        <v>5</v>
      </c>
      <c r="C162" t="s">
        <v>17</v>
      </c>
      <c r="D162" t="s">
        <v>6</v>
      </c>
    </row>
    <row r="163" spans="1:4" x14ac:dyDescent="0.35">
      <c r="A163" t="s">
        <v>12</v>
      </c>
      <c r="B163" t="s">
        <v>5</v>
      </c>
      <c r="C163" t="s">
        <v>17</v>
      </c>
      <c r="D163" t="s">
        <v>6</v>
      </c>
    </row>
    <row r="164" spans="1:4" x14ac:dyDescent="0.35">
      <c r="A164" t="s">
        <v>12</v>
      </c>
      <c r="B164" t="s">
        <v>5</v>
      </c>
      <c r="C164" t="s">
        <v>17</v>
      </c>
      <c r="D164" t="s">
        <v>6</v>
      </c>
    </row>
    <row r="165" spans="1:4" x14ac:dyDescent="0.35">
      <c r="A165" t="s">
        <v>12</v>
      </c>
      <c r="B165" t="s">
        <v>5</v>
      </c>
      <c r="C165" t="s">
        <v>17</v>
      </c>
      <c r="D165" t="s">
        <v>6</v>
      </c>
    </row>
    <row r="166" spans="1:4" x14ac:dyDescent="0.35">
      <c r="A166" t="s">
        <v>12</v>
      </c>
      <c r="B166" t="s">
        <v>5</v>
      </c>
      <c r="C166" t="s">
        <v>17</v>
      </c>
      <c r="D166" t="s">
        <v>6</v>
      </c>
    </row>
    <row r="167" spans="1:4" x14ac:dyDescent="0.35">
      <c r="A167" t="s">
        <v>12</v>
      </c>
      <c r="B167" t="s">
        <v>5</v>
      </c>
      <c r="C167" t="s">
        <v>17</v>
      </c>
      <c r="D167" t="s">
        <v>6</v>
      </c>
    </row>
    <row r="168" spans="1:4" x14ac:dyDescent="0.35">
      <c r="A168" t="s">
        <v>12</v>
      </c>
      <c r="B168" t="s">
        <v>5</v>
      </c>
      <c r="C168" t="s">
        <v>17</v>
      </c>
      <c r="D168" t="s">
        <v>7</v>
      </c>
    </row>
    <row r="169" spans="1:4" x14ac:dyDescent="0.35">
      <c r="A169" t="s">
        <v>12</v>
      </c>
      <c r="B169" t="s">
        <v>5</v>
      </c>
      <c r="C169" t="s">
        <v>17</v>
      </c>
      <c r="D169" t="s">
        <v>7</v>
      </c>
    </row>
    <row r="170" spans="1:4" x14ac:dyDescent="0.35">
      <c r="A170" t="s">
        <v>12</v>
      </c>
      <c r="B170" t="s">
        <v>8</v>
      </c>
      <c r="C170" t="s">
        <v>17</v>
      </c>
      <c r="D170" t="s">
        <v>7</v>
      </c>
    </row>
    <row r="171" spans="1:4" x14ac:dyDescent="0.35">
      <c r="A171" t="s">
        <v>12</v>
      </c>
      <c r="B171" t="s">
        <v>8</v>
      </c>
      <c r="C171" t="s">
        <v>17</v>
      </c>
      <c r="D171" t="s">
        <v>6</v>
      </c>
    </row>
    <row r="172" spans="1:4" x14ac:dyDescent="0.35">
      <c r="A172" t="s">
        <v>12</v>
      </c>
      <c r="B172" t="s">
        <v>8</v>
      </c>
      <c r="C172" t="s">
        <v>17</v>
      </c>
      <c r="D172" t="s">
        <v>6</v>
      </c>
    </row>
    <row r="173" spans="1:4" x14ac:dyDescent="0.35">
      <c r="A173" t="s">
        <v>12</v>
      </c>
      <c r="B173" t="s">
        <v>8</v>
      </c>
      <c r="C173" t="s">
        <v>17</v>
      </c>
      <c r="D173" t="s">
        <v>6</v>
      </c>
    </row>
    <row r="174" spans="1:4" x14ac:dyDescent="0.35">
      <c r="A174" t="s">
        <v>12</v>
      </c>
      <c r="B174" t="s">
        <v>8</v>
      </c>
      <c r="C174" t="s">
        <v>17</v>
      </c>
      <c r="D174" t="s">
        <v>6</v>
      </c>
    </row>
    <row r="175" spans="1:4" x14ac:dyDescent="0.35">
      <c r="A175" t="s">
        <v>12</v>
      </c>
      <c r="B175" t="s">
        <v>8</v>
      </c>
      <c r="C175" t="s">
        <v>17</v>
      </c>
      <c r="D175" t="s">
        <v>6</v>
      </c>
    </row>
    <row r="176" spans="1:4" x14ac:dyDescent="0.35">
      <c r="A176" t="s">
        <v>12</v>
      </c>
      <c r="B176" t="s">
        <v>8</v>
      </c>
      <c r="C176" t="s">
        <v>17</v>
      </c>
      <c r="D176" t="s">
        <v>7</v>
      </c>
    </row>
    <row r="177" spans="1:4" x14ac:dyDescent="0.35">
      <c r="A177" t="s">
        <v>12</v>
      </c>
      <c r="B177" t="s">
        <v>8</v>
      </c>
      <c r="C177" t="s">
        <v>17</v>
      </c>
      <c r="D177" t="s">
        <v>7</v>
      </c>
    </row>
    <row r="178" spans="1:4" x14ac:dyDescent="0.35">
      <c r="A178" t="s">
        <v>12</v>
      </c>
      <c r="B178" t="s">
        <v>8</v>
      </c>
      <c r="C178" t="s">
        <v>17</v>
      </c>
      <c r="D178" t="s">
        <v>6</v>
      </c>
    </row>
    <row r="179" spans="1:4" x14ac:dyDescent="0.35">
      <c r="A179" t="s">
        <v>12</v>
      </c>
      <c r="B179" t="s">
        <v>8</v>
      </c>
      <c r="C179" t="s">
        <v>17</v>
      </c>
      <c r="D179" t="s">
        <v>7</v>
      </c>
    </row>
    <row r="180" spans="1:4" x14ac:dyDescent="0.35">
      <c r="A180" t="s">
        <v>12</v>
      </c>
      <c r="B180" t="s">
        <v>8</v>
      </c>
      <c r="C180" t="s">
        <v>17</v>
      </c>
      <c r="D180" t="s">
        <v>6</v>
      </c>
    </row>
    <row r="181" spans="1:4" x14ac:dyDescent="0.35">
      <c r="A181" t="s">
        <v>12</v>
      </c>
      <c r="B181" t="s">
        <v>8</v>
      </c>
      <c r="C181" t="s">
        <v>17</v>
      </c>
      <c r="D181" t="s">
        <v>6</v>
      </c>
    </row>
    <row r="182" spans="1:4" x14ac:dyDescent="0.35">
      <c r="A182" t="s">
        <v>12</v>
      </c>
      <c r="B182" t="s">
        <v>8</v>
      </c>
      <c r="C182" t="s">
        <v>17</v>
      </c>
      <c r="D182" t="s">
        <v>6</v>
      </c>
    </row>
    <row r="183" spans="1:4" x14ac:dyDescent="0.35">
      <c r="A183" t="s">
        <v>12</v>
      </c>
      <c r="B183" t="s">
        <v>8</v>
      </c>
      <c r="C183" t="s">
        <v>17</v>
      </c>
      <c r="D183" t="s">
        <v>7</v>
      </c>
    </row>
    <row r="184" spans="1:4" x14ac:dyDescent="0.35">
      <c r="A184" t="s">
        <v>12</v>
      </c>
      <c r="B184" t="s">
        <v>8</v>
      </c>
      <c r="C184" t="s">
        <v>17</v>
      </c>
      <c r="D184" t="s">
        <v>7</v>
      </c>
    </row>
    <row r="185" spans="1:4" x14ac:dyDescent="0.35">
      <c r="A185" t="s">
        <v>12</v>
      </c>
      <c r="B185" t="s">
        <v>8</v>
      </c>
      <c r="C185" t="s">
        <v>17</v>
      </c>
      <c r="D185" t="s">
        <v>7</v>
      </c>
    </row>
    <row r="186" spans="1:4" x14ac:dyDescent="0.35">
      <c r="A186" t="s">
        <v>12</v>
      </c>
      <c r="B186" t="s">
        <v>8</v>
      </c>
      <c r="C186" t="s">
        <v>17</v>
      </c>
      <c r="D186" t="s">
        <v>7</v>
      </c>
    </row>
    <row r="187" spans="1:4" x14ac:dyDescent="0.35">
      <c r="A187" t="s">
        <v>12</v>
      </c>
      <c r="B187" t="s">
        <v>8</v>
      </c>
      <c r="C187" t="s">
        <v>17</v>
      </c>
      <c r="D187" t="s">
        <v>7</v>
      </c>
    </row>
    <row r="188" spans="1:4" x14ac:dyDescent="0.35">
      <c r="A188" t="s">
        <v>12</v>
      </c>
      <c r="B188" t="s">
        <v>8</v>
      </c>
      <c r="C188" t="s">
        <v>17</v>
      </c>
      <c r="D188" t="s">
        <v>7</v>
      </c>
    </row>
    <row r="189" spans="1:4" x14ac:dyDescent="0.35">
      <c r="A189" t="s">
        <v>12</v>
      </c>
      <c r="B189" t="s">
        <v>8</v>
      </c>
      <c r="C189" t="s">
        <v>17</v>
      </c>
      <c r="D189" t="s">
        <v>7</v>
      </c>
    </row>
    <row r="190" spans="1:4" x14ac:dyDescent="0.35">
      <c r="A190" t="s">
        <v>12</v>
      </c>
      <c r="B190" t="s">
        <v>8</v>
      </c>
      <c r="C190" t="s">
        <v>17</v>
      </c>
      <c r="D190" t="s">
        <v>7</v>
      </c>
    </row>
    <row r="191" spans="1:4" x14ac:dyDescent="0.35">
      <c r="A191" t="s">
        <v>12</v>
      </c>
      <c r="B191" t="s">
        <v>8</v>
      </c>
      <c r="C191" t="s">
        <v>17</v>
      </c>
      <c r="D191" t="s">
        <v>7</v>
      </c>
    </row>
    <row r="192" spans="1:4" x14ac:dyDescent="0.35">
      <c r="A192" t="s">
        <v>12</v>
      </c>
      <c r="B192" t="s">
        <v>8</v>
      </c>
      <c r="C192" t="s">
        <v>17</v>
      </c>
      <c r="D192" t="s">
        <v>6</v>
      </c>
    </row>
    <row r="193" spans="1:4" x14ac:dyDescent="0.35">
      <c r="A193" t="s">
        <v>12</v>
      </c>
      <c r="B193" t="s">
        <v>8</v>
      </c>
      <c r="C193" t="s">
        <v>17</v>
      </c>
      <c r="D193" t="s">
        <v>6</v>
      </c>
    </row>
    <row r="194" spans="1:4" x14ac:dyDescent="0.35">
      <c r="A194" t="s">
        <v>12</v>
      </c>
      <c r="B194" t="s">
        <v>8</v>
      </c>
      <c r="C194" t="s">
        <v>17</v>
      </c>
      <c r="D194" t="s">
        <v>6</v>
      </c>
    </row>
    <row r="195" spans="1:4" x14ac:dyDescent="0.35">
      <c r="A195" t="s">
        <v>12</v>
      </c>
      <c r="B195" t="s">
        <v>8</v>
      </c>
      <c r="C195" t="s">
        <v>17</v>
      </c>
      <c r="D195" t="s">
        <v>7</v>
      </c>
    </row>
    <row r="196" spans="1:4" x14ac:dyDescent="0.35">
      <c r="A196" t="s">
        <v>12</v>
      </c>
      <c r="B196" t="s">
        <v>9</v>
      </c>
      <c r="C196" t="s">
        <v>17</v>
      </c>
      <c r="D196" t="s">
        <v>6</v>
      </c>
    </row>
    <row r="197" spans="1:4" x14ac:dyDescent="0.35">
      <c r="A197" t="s">
        <v>12</v>
      </c>
      <c r="B197" t="s">
        <v>9</v>
      </c>
      <c r="C197" t="s">
        <v>17</v>
      </c>
      <c r="D197" t="s">
        <v>6</v>
      </c>
    </row>
    <row r="198" spans="1:4" x14ac:dyDescent="0.35">
      <c r="A198" t="s">
        <v>12</v>
      </c>
      <c r="B198" t="s">
        <v>9</v>
      </c>
      <c r="C198" t="s">
        <v>17</v>
      </c>
      <c r="D198" t="s">
        <v>7</v>
      </c>
    </row>
    <row r="199" spans="1:4" x14ac:dyDescent="0.35">
      <c r="A199" t="s">
        <v>12</v>
      </c>
      <c r="B199" t="s">
        <v>9</v>
      </c>
      <c r="C199" t="s">
        <v>17</v>
      </c>
      <c r="D199" t="s">
        <v>6</v>
      </c>
    </row>
    <row r="200" spans="1:4" x14ac:dyDescent="0.35">
      <c r="A200" t="s">
        <v>12</v>
      </c>
      <c r="B200" t="s">
        <v>9</v>
      </c>
      <c r="C200" t="s">
        <v>17</v>
      </c>
      <c r="D200" t="s">
        <v>6</v>
      </c>
    </row>
    <row r="201" spans="1:4" x14ac:dyDescent="0.35">
      <c r="A201" t="s">
        <v>12</v>
      </c>
      <c r="B201" t="s">
        <v>9</v>
      </c>
      <c r="C201" t="s">
        <v>17</v>
      </c>
      <c r="D201" t="s">
        <v>6</v>
      </c>
    </row>
    <row r="202" spans="1:4" x14ac:dyDescent="0.35">
      <c r="A202" t="s">
        <v>12</v>
      </c>
      <c r="B202" t="s">
        <v>9</v>
      </c>
      <c r="C202" t="s">
        <v>17</v>
      </c>
      <c r="D202" t="s">
        <v>7</v>
      </c>
    </row>
    <row r="203" spans="1:4" x14ac:dyDescent="0.35">
      <c r="A203" t="s">
        <v>12</v>
      </c>
      <c r="B203" t="s">
        <v>9</v>
      </c>
      <c r="C203" t="s">
        <v>17</v>
      </c>
      <c r="D203" t="s">
        <v>7</v>
      </c>
    </row>
    <row r="204" spans="1:4" x14ac:dyDescent="0.35">
      <c r="A204" t="s">
        <v>12</v>
      </c>
      <c r="B204" t="s">
        <v>9</v>
      </c>
      <c r="C204" t="s">
        <v>17</v>
      </c>
      <c r="D204" t="s">
        <v>7</v>
      </c>
    </row>
    <row r="205" spans="1:4" x14ac:dyDescent="0.35">
      <c r="A205" t="s">
        <v>12</v>
      </c>
      <c r="B205" t="s">
        <v>9</v>
      </c>
      <c r="C205" t="s">
        <v>17</v>
      </c>
      <c r="D205" t="s">
        <v>7</v>
      </c>
    </row>
    <row r="206" spans="1:4" x14ac:dyDescent="0.35">
      <c r="A206" t="s">
        <v>12</v>
      </c>
      <c r="B206" t="s">
        <v>9</v>
      </c>
      <c r="C206" t="s">
        <v>17</v>
      </c>
      <c r="D206" t="s">
        <v>6</v>
      </c>
    </row>
    <row r="207" spans="1:4" x14ac:dyDescent="0.35">
      <c r="A207" t="s">
        <v>12</v>
      </c>
      <c r="B207" t="s">
        <v>9</v>
      </c>
      <c r="C207" t="s">
        <v>17</v>
      </c>
      <c r="D207" t="s">
        <v>6</v>
      </c>
    </row>
    <row r="208" spans="1:4" x14ac:dyDescent="0.35">
      <c r="A208" t="s">
        <v>12</v>
      </c>
      <c r="B208" t="s">
        <v>9</v>
      </c>
      <c r="C208" t="s">
        <v>17</v>
      </c>
      <c r="D208" t="s">
        <v>7</v>
      </c>
    </row>
    <row r="209" spans="1:4" x14ac:dyDescent="0.35">
      <c r="A209" t="s">
        <v>12</v>
      </c>
      <c r="B209" t="s">
        <v>9</v>
      </c>
      <c r="C209" t="s">
        <v>17</v>
      </c>
      <c r="D209" t="s">
        <v>6</v>
      </c>
    </row>
    <row r="210" spans="1:4" x14ac:dyDescent="0.35">
      <c r="A210" t="s">
        <v>12</v>
      </c>
      <c r="B210" t="s">
        <v>9</v>
      </c>
      <c r="C210" t="s">
        <v>17</v>
      </c>
      <c r="D210" t="s">
        <v>7</v>
      </c>
    </row>
    <row r="211" spans="1:4" x14ac:dyDescent="0.35">
      <c r="A211" t="s">
        <v>12</v>
      </c>
      <c r="B211" t="s">
        <v>9</v>
      </c>
      <c r="C211" t="s">
        <v>17</v>
      </c>
      <c r="D211" t="s">
        <v>7</v>
      </c>
    </row>
    <row r="212" spans="1:4" x14ac:dyDescent="0.35">
      <c r="A212" t="s">
        <v>13</v>
      </c>
      <c r="B212" t="s">
        <v>5</v>
      </c>
      <c r="C212" t="s">
        <v>17</v>
      </c>
      <c r="D212" t="s">
        <v>6</v>
      </c>
    </row>
    <row r="213" spans="1:4" x14ac:dyDescent="0.35">
      <c r="A213" t="s">
        <v>13</v>
      </c>
      <c r="B213" t="s">
        <v>5</v>
      </c>
      <c r="C213" t="s">
        <v>17</v>
      </c>
      <c r="D213" t="s">
        <v>6</v>
      </c>
    </row>
    <row r="214" spans="1:4" x14ac:dyDescent="0.35">
      <c r="A214" t="s">
        <v>13</v>
      </c>
      <c r="B214" t="s">
        <v>5</v>
      </c>
      <c r="C214" t="s">
        <v>17</v>
      </c>
      <c r="D214" t="s">
        <v>7</v>
      </c>
    </row>
    <row r="215" spans="1:4" x14ac:dyDescent="0.35">
      <c r="A215" t="s">
        <v>13</v>
      </c>
      <c r="B215" t="s">
        <v>5</v>
      </c>
      <c r="C215" t="s">
        <v>17</v>
      </c>
      <c r="D215" t="s">
        <v>6</v>
      </c>
    </row>
    <row r="216" spans="1:4" x14ac:dyDescent="0.35">
      <c r="A216" t="s">
        <v>13</v>
      </c>
      <c r="B216" t="s">
        <v>5</v>
      </c>
      <c r="C216" t="s">
        <v>17</v>
      </c>
      <c r="D216" t="s">
        <v>7</v>
      </c>
    </row>
    <row r="217" spans="1:4" x14ac:dyDescent="0.35">
      <c r="A217" t="s">
        <v>13</v>
      </c>
      <c r="B217" t="s">
        <v>5</v>
      </c>
      <c r="C217" t="s">
        <v>17</v>
      </c>
      <c r="D217" t="s">
        <v>6</v>
      </c>
    </row>
    <row r="218" spans="1:4" x14ac:dyDescent="0.35">
      <c r="A218" t="s">
        <v>13</v>
      </c>
      <c r="B218" t="s">
        <v>5</v>
      </c>
      <c r="C218" t="s">
        <v>17</v>
      </c>
      <c r="D218" t="s">
        <v>6</v>
      </c>
    </row>
    <row r="219" spans="1:4" x14ac:dyDescent="0.35">
      <c r="A219" t="s">
        <v>13</v>
      </c>
      <c r="B219" t="s">
        <v>5</v>
      </c>
      <c r="C219" t="s">
        <v>17</v>
      </c>
      <c r="D219" t="s">
        <v>7</v>
      </c>
    </row>
    <row r="220" spans="1:4" x14ac:dyDescent="0.35">
      <c r="A220" t="s">
        <v>13</v>
      </c>
      <c r="B220" t="s">
        <v>5</v>
      </c>
      <c r="C220" t="s">
        <v>17</v>
      </c>
      <c r="D220" t="s">
        <v>7</v>
      </c>
    </row>
    <row r="221" spans="1:4" x14ac:dyDescent="0.35">
      <c r="A221" t="s">
        <v>13</v>
      </c>
      <c r="B221" t="s">
        <v>5</v>
      </c>
      <c r="C221" t="s">
        <v>17</v>
      </c>
      <c r="D221" t="s">
        <v>6</v>
      </c>
    </row>
    <row r="222" spans="1:4" x14ac:dyDescent="0.35">
      <c r="A222" t="s">
        <v>13</v>
      </c>
      <c r="B222" t="s">
        <v>5</v>
      </c>
      <c r="C222" t="s">
        <v>17</v>
      </c>
      <c r="D222" t="s">
        <v>6</v>
      </c>
    </row>
    <row r="223" spans="1:4" x14ac:dyDescent="0.35">
      <c r="A223" t="s">
        <v>13</v>
      </c>
      <c r="B223" t="s">
        <v>5</v>
      </c>
      <c r="C223" t="s">
        <v>17</v>
      </c>
      <c r="D223" t="s">
        <v>6</v>
      </c>
    </row>
    <row r="224" spans="1:4" x14ac:dyDescent="0.35">
      <c r="A224" t="s">
        <v>13</v>
      </c>
      <c r="B224" t="s">
        <v>5</v>
      </c>
      <c r="C224" t="s">
        <v>17</v>
      </c>
      <c r="D224" t="s">
        <v>7</v>
      </c>
    </row>
    <row r="225" spans="1:4" x14ac:dyDescent="0.35">
      <c r="A225" t="s">
        <v>13</v>
      </c>
      <c r="B225" t="s">
        <v>5</v>
      </c>
      <c r="C225" t="s">
        <v>17</v>
      </c>
      <c r="D225" t="s">
        <v>6</v>
      </c>
    </row>
    <row r="226" spans="1:4" x14ac:dyDescent="0.35">
      <c r="A226" t="s">
        <v>13</v>
      </c>
      <c r="B226" t="s">
        <v>5</v>
      </c>
      <c r="C226" t="s">
        <v>17</v>
      </c>
      <c r="D226" t="s">
        <v>7</v>
      </c>
    </row>
    <row r="227" spans="1:4" x14ac:dyDescent="0.35">
      <c r="A227" t="s">
        <v>13</v>
      </c>
      <c r="B227" t="s">
        <v>8</v>
      </c>
      <c r="C227" t="s">
        <v>17</v>
      </c>
      <c r="D227" t="s">
        <v>6</v>
      </c>
    </row>
    <row r="228" spans="1:4" x14ac:dyDescent="0.35">
      <c r="A228" t="s">
        <v>13</v>
      </c>
      <c r="B228" t="s">
        <v>8</v>
      </c>
      <c r="C228" t="s">
        <v>17</v>
      </c>
      <c r="D228" t="s">
        <v>6</v>
      </c>
    </row>
    <row r="229" spans="1:4" x14ac:dyDescent="0.35">
      <c r="A229" t="s">
        <v>13</v>
      </c>
      <c r="B229" t="s">
        <v>8</v>
      </c>
      <c r="C229" t="s">
        <v>17</v>
      </c>
      <c r="D229" t="s">
        <v>6</v>
      </c>
    </row>
    <row r="230" spans="1:4" x14ac:dyDescent="0.35">
      <c r="A230" t="s">
        <v>13</v>
      </c>
      <c r="B230" t="s">
        <v>8</v>
      </c>
      <c r="C230" t="s">
        <v>17</v>
      </c>
      <c r="D230" t="s">
        <v>6</v>
      </c>
    </row>
    <row r="231" spans="1:4" x14ac:dyDescent="0.35">
      <c r="A231" t="s">
        <v>13</v>
      </c>
      <c r="B231" t="s">
        <v>8</v>
      </c>
      <c r="C231" t="s">
        <v>17</v>
      </c>
      <c r="D231" t="s">
        <v>7</v>
      </c>
    </row>
    <row r="232" spans="1:4" x14ac:dyDescent="0.35">
      <c r="A232" t="s">
        <v>13</v>
      </c>
      <c r="B232" t="s">
        <v>8</v>
      </c>
      <c r="C232" t="s">
        <v>17</v>
      </c>
      <c r="D232" t="s">
        <v>6</v>
      </c>
    </row>
    <row r="233" spans="1:4" x14ac:dyDescent="0.35">
      <c r="A233" t="s">
        <v>13</v>
      </c>
      <c r="B233" t="s">
        <v>8</v>
      </c>
      <c r="C233" t="s">
        <v>17</v>
      </c>
      <c r="D233" t="s">
        <v>6</v>
      </c>
    </row>
    <row r="234" spans="1:4" x14ac:dyDescent="0.35">
      <c r="A234" t="s">
        <v>13</v>
      </c>
      <c r="B234" t="s">
        <v>8</v>
      </c>
      <c r="C234" t="s">
        <v>17</v>
      </c>
      <c r="D234" t="s">
        <v>7</v>
      </c>
    </row>
    <row r="235" spans="1:4" x14ac:dyDescent="0.35">
      <c r="A235" t="s">
        <v>13</v>
      </c>
      <c r="B235" t="s">
        <v>8</v>
      </c>
      <c r="C235" t="s">
        <v>17</v>
      </c>
      <c r="D235" t="s">
        <v>6</v>
      </c>
    </row>
    <row r="236" spans="1:4" x14ac:dyDescent="0.35">
      <c r="A236" t="s">
        <v>13</v>
      </c>
      <c r="B236" t="s">
        <v>8</v>
      </c>
      <c r="C236" t="s">
        <v>17</v>
      </c>
      <c r="D236" t="s">
        <v>7</v>
      </c>
    </row>
    <row r="237" spans="1:4" x14ac:dyDescent="0.35">
      <c r="A237" t="s">
        <v>13</v>
      </c>
      <c r="B237" t="s">
        <v>8</v>
      </c>
      <c r="C237" t="s">
        <v>17</v>
      </c>
      <c r="D237" t="s">
        <v>7</v>
      </c>
    </row>
    <row r="238" spans="1:4" x14ac:dyDescent="0.35">
      <c r="A238" t="s">
        <v>13</v>
      </c>
      <c r="B238" t="s">
        <v>8</v>
      </c>
      <c r="C238" t="s">
        <v>17</v>
      </c>
      <c r="D238" t="s">
        <v>7</v>
      </c>
    </row>
    <row r="239" spans="1:4" x14ac:dyDescent="0.35">
      <c r="A239" t="s">
        <v>13</v>
      </c>
      <c r="B239" t="s">
        <v>8</v>
      </c>
      <c r="C239" t="s">
        <v>17</v>
      </c>
      <c r="D239" t="s">
        <v>7</v>
      </c>
    </row>
    <row r="240" spans="1:4" x14ac:dyDescent="0.35">
      <c r="A240" t="s">
        <v>13</v>
      </c>
      <c r="B240" t="s">
        <v>8</v>
      </c>
      <c r="C240" t="s">
        <v>17</v>
      </c>
      <c r="D240" t="s">
        <v>7</v>
      </c>
    </row>
    <row r="241" spans="1:4" x14ac:dyDescent="0.35">
      <c r="A241" t="s">
        <v>13</v>
      </c>
      <c r="B241" t="s">
        <v>8</v>
      </c>
      <c r="C241" t="s">
        <v>17</v>
      </c>
      <c r="D241" t="s">
        <v>7</v>
      </c>
    </row>
    <row r="242" spans="1:4" x14ac:dyDescent="0.35">
      <c r="A242" t="s">
        <v>13</v>
      </c>
      <c r="B242" t="s">
        <v>8</v>
      </c>
      <c r="C242" t="s">
        <v>17</v>
      </c>
      <c r="D242" t="s">
        <v>6</v>
      </c>
    </row>
    <row r="243" spans="1:4" x14ac:dyDescent="0.35">
      <c r="A243" t="s">
        <v>13</v>
      </c>
      <c r="B243" t="s">
        <v>8</v>
      </c>
      <c r="C243" t="s">
        <v>17</v>
      </c>
      <c r="D243" t="s">
        <v>7</v>
      </c>
    </row>
    <row r="244" spans="1:4" x14ac:dyDescent="0.35">
      <c r="A244" t="s">
        <v>13</v>
      </c>
      <c r="B244" t="s">
        <v>8</v>
      </c>
      <c r="C244" t="s">
        <v>17</v>
      </c>
      <c r="D244" t="s">
        <v>7</v>
      </c>
    </row>
    <row r="245" spans="1:4" x14ac:dyDescent="0.35">
      <c r="A245" t="s">
        <v>13</v>
      </c>
      <c r="B245" t="s">
        <v>8</v>
      </c>
      <c r="C245" t="s">
        <v>17</v>
      </c>
      <c r="D245" t="s">
        <v>7</v>
      </c>
    </row>
    <row r="246" spans="1:4" x14ac:dyDescent="0.35">
      <c r="A246" t="s">
        <v>13</v>
      </c>
      <c r="B246" t="s">
        <v>8</v>
      </c>
      <c r="C246" t="s">
        <v>17</v>
      </c>
      <c r="D246" t="s">
        <v>6</v>
      </c>
    </row>
    <row r="247" spans="1:4" x14ac:dyDescent="0.35">
      <c r="A247" t="s">
        <v>13</v>
      </c>
      <c r="B247" t="s">
        <v>8</v>
      </c>
      <c r="C247" t="s">
        <v>17</v>
      </c>
      <c r="D247" t="s">
        <v>6</v>
      </c>
    </row>
    <row r="248" spans="1:4" x14ac:dyDescent="0.35">
      <c r="A248" t="s">
        <v>13</v>
      </c>
      <c r="B248" t="s">
        <v>8</v>
      </c>
      <c r="C248" t="s">
        <v>17</v>
      </c>
      <c r="D248" t="s">
        <v>6</v>
      </c>
    </row>
    <row r="249" spans="1:4" x14ac:dyDescent="0.35">
      <c r="A249" t="s">
        <v>13</v>
      </c>
      <c r="B249" t="s">
        <v>8</v>
      </c>
      <c r="C249" t="s">
        <v>17</v>
      </c>
      <c r="D249" t="s">
        <v>6</v>
      </c>
    </row>
    <row r="250" spans="1:4" x14ac:dyDescent="0.35">
      <c r="A250" t="s">
        <v>13</v>
      </c>
      <c r="B250" t="s">
        <v>8</v>
      </c>
      <c r="C250" t="s">
        <v>17</v>
      </c>
      <c r="D250" t="s">
        <v>7</v>
      </c>
    </row>
    <row r="251" spans="1:4" x14ac:dyDescent="0.35">
      <c r="A251" t="s">
        <v>13</v>
      </c>
      <c r="B251" t="s">
        <v>9</v>
      </c>
      <c r="C251" t="s">
        <v>17</v>
      </c>
      <c r="D251" t="s">
        <v>6</v>
      </c>
    </row>
    <row r="252" spans="1:4" x14ac:dyDescent="0.35">
      <c r="A252" t="s">
        <v>13</v>
      </c>
      <c r="B252" t="s">
        <v>9</v>
      </c>
      <c r="C252" t="s">
        <v>17</v>
      </c>
      <c r="D252" t="s">
        <v>6</v>
      </c>
    </row>
    <row r="253" spans="1:4" x14ac:dyDescent="0.35">
      <c r="A253" t="s">
        <v>13</v>
      </c>
      <c r="B253" t="s">
        <v>9</v>
      </c>
      <c r="C253" t="s">
        <v>17</v>
      </c>
      <c r="D253" t="s">
        <v>7</v>
      </c>
    </row>
    <row r="254" spans="1:4" x14ac:dyDescent="0.35">
      <c r="A254" t="s">
        <v>13</v>
      </c>
      <c r="B254" t="s">
        <v>9</v>
      </c>
      <c r="C254" t="s">
        <v>17</v>
      </c>
      <c r="D254" t="s">
        <v>6</v>
      </c>
    </row>
    <row r="255" spans="1:4" x14ac:dyDescent="0.35">
      <c r="A255" t="s">
        <v>13</v>
      </c>
      <c r="B255" t="s">
        <v>9</v>
      </c>
      <c r="C255" t="s">
        <v>17</v>
      </c>
      <c r="D255" t="s">
        <v>6</v>
      </c>
    </row>
    <row r="256" spans="1:4" x14ac:dyDescent="0.35">
      <c r="A256" t="s">
        <v>13</v>
      </c>
      <c r="B256" t="s">
        <v>9</v>
      </c>
      <c r="C256" t="s">
        <v>17</v>
      </c>
      <c r="D256" t="s">
        <v>6</v>
      </c>
    </row>
    <row r="257" spans="1:4" x14ac:dyDescent="0.35">
      <c r="A257" t="s">
        <v>13</v>
      </c>
      <c r="B257" t="s">
        <v>9</v>
      </c>
      <c r="C257" t="s">
        <v>17</v>
      </c>
      <c r="D257" t="s">
        <v>6</v>
      </c>
    </row>
    <row r="258" spans="1:4" x14ac:dyDescent="0.35">
      <c r="A258" t="s">
        <v>13</v>
      </c>
      <c r="B258" t="s">
        <v>9</v>
      </c>
      <c r="C258" t="s">
        <v>17</v>
      </c>
      <c r="D258" t="s">
        <v>6</v>
      </c>
    </row>
    <row r="259" spans="1:4" x14ac:dyDescent="0.35">
      <c r="A259" t="s">
        <v>13</v>
      </c>
      <c r="B259" t="s">
        <v>9</v>
      </c>
      <c r="C259" t="s">
        <v>17</v>
      </c>
      <c r="D259" t="s">
        <v>6</v>
      </c>
    </row>
    <row r="260" spans="1:4" x14ac:dyDescent="0.35">
      <c r="A260" t="s">
        <v>14</v>
      </c>
      <c r="B260" t="s">
        <v>5</v>
      </c>
      <c r="C260" t="s">
        <v>17</v>
      </c>
      <c r="D260" t="s">
        <v>6</v>
      </c>
    </row>
    <row r="261" spans="1:4" x14ac:dyDescent="0.35">
      <c r="A261" t="s">
        <v>14</v>
      </c>
      <c r="B261" t="s">
        <v>5</v>
      </c>
      <c r="C261" t="s">
        <v>17</v>
      </c>
      <c r="D261" t="s">
        <v>7</v>
      </c>
    </row>
    <row r="262" spans="1:4" x14ac:dyDescent="0.35">
      <c r="A262" t="s">
        <v>14</v>
      </c>
      <c r="B262" t="s">
        <v>5</v>
      </c>
      <c r="C262" t="s">
        <v>17</v>
      </c>
      <c r="D262" t="s">
        <v>6</v>
      </c>
    </row>
    <row r="263" spans="1:4" x14ac:dyDescent="0.35">
      <c r="A263" t="s">
        <v>14</v>
      </c>
      <c r="B263" t="s">
        <v>5</v>
      </c>
      <c r="C263" t="s">
        <v>17</v>
      </c>
      <c r="D263" t="s">
        <v>6</v>
      </c>
    </row>
    <row r="264" spans="1:4" x14ac:dyDescent="0.35">
      <c r="A264" t="s">
        <v>14</v>
      </c>
      <c r="B264" t="s">
        <v>5</v>
      </c>
      <c r="C264" t="s">
        <v>17</v>
      </c>
      <c r="D264" t="s">
        <v>7</v>
      </c>
    </row>
    <row r="265" spans="1:4" x14ac:dyDescent="0.35">
      <c r="A265" t="s">
        <v>14</v>
      </c>
      <c r="B265" t="s">
        <v>5</v>
      </c>
      <c r="C265" t="s">
        <v>17</v>
      </c>
      <c r="D265" t="s">
        <v>7</v>
      </c>
    </row>
    <row r="266" spans="1:4" x14ac:dyDescent="0.35">
      <c r="A266" t="s">
        <v>14</v>
      </c>
      <c r="B266" t="s">
        <v>5</v>
      </c>
      <c r="C266" t="s">
        <v>17</v>
      </c>
      <c r="D266" t="s">
        <v>6</v>
      </c>
    </row>
    <row r="267" spans="1:4" x14ac:dyDescent="0.35">
      <c r="A267" t="s">
        <v>14</v>
      </c>
      <c r="B267" t="s">
        <v>5</v>
      </c>
      <c r="C267" t="s">
        <v>17</v>
      </c>
      <c r="D267" t="s">
        <v>6</v>
      </c>
    </row>
    <row r="268" spans="1:4" x14ac:dyDescent="0.35">
      <c r="A268" t="s">
        <v>14</v>
      </c>
      <c r="B268" t="s">
        <v>5</v>
      </c>
      <c r="C268" t="s">
        <v>17</v>
      </c>
      <c r="D268" t="s">
        <v>6</v>
      </c>
    </row>
    <row r="269" spans="1:4" x14ac:dyDescent="0.35">
      <c r="A269" t="s">
        <v>14</v>
      </c>
      <c r="B269" t="s">
        <v>5</v>
      </c>
      <c r="C269" t="s">
        <v>17</v>
      </c>
      <c r="D269" t="s">
        <v>6</v>
      </c>
    </row>
    <row r="270" spans="1:4" x14ac:dyDescent="0.35">
      <c r="A270" t="s">
        <v>14</v>
      </c>
      <c r="B270" t="s">
        <v>5</v>
      </c>
      <c r="C270" t="s">
        <v>17</v>
      </c>
      <c r="D270" t="s">
        <v>6</v>
      </c>
    </row>
    <row r="271" spans="1:4" x14ac:dyDescent="0.35">
      <c r="A271" t="s">
        <v>14</v>
      </c>
      <c r="B271" t="s">
        <v>5</v>
      </c>
      <c r="C271" t="s">
        <v>17</v>
      </c>
      <c r="D271" t="s">
        <v>6</v>
      </c>
    </row>
    <row r="272" spans="1:4" x14ac:dyDescent="0.35">
      <c r="A272" t="s">
        <v>14</v>
      </c>
      <c r="B272" t="s">
        <v>5</v>
      </c>
      <c r="C272" t="s">
        <v>17</v>
      </c>
      <c r="D272" t="s">
        <v>6</v>
      </c>
    </row>
    <row r="273" spans="1:4" x14ac:dyDescent="0.35">
      <c r="A273" t="s">
        <v>14</v>
      </c>
      <c r="B273" t="s">
        <v>5</v>
      </c>
      <c r="C273" t="s">
        <v>17</v>
      </c>
      <c r="D273" t="s">
        <v>6</v>
      </c>
    </row>
    <row r="274" spans="1:4" x14ac:dyDescent="0.35">
      <c r="A274" t="s">
        <v>14</v>
      </c>
      <c r="B274" t="s">
        <v>5</v>
      </c>
      <c r="C274" t="s">
        <v>17</v>
      </c>
      <c r="D274" t="s">
        <v>6</v>
      </c>
    </row>
    <row r="275" spans="1:4" x14ac:dyDescent="0.35">
      <c r="A275" t="s">
        <v>14</v>
      </c>
      <c r="B275" t="s">
        <v>5</v>
      </c>
      <c r="C275" t="s">
        <v>17</v>
      </c>
      <c r="D275" t="s">
        <v>6</v>
      </c>
    </row>
    <row r="276" spans="1:4" x14ac:dyDescent="0.35">
      <c r="A276" t="s">
        <v>14</v>
      </c>
      <c r="B276" t="s">
        <v>5</v>
      </c>
      <c r="C276" t="s">
        <v>17</v>
      </c>
      <c r="D276" t="s">
        <v>6</v>
      </c>
    </row>
    <row r="277" spans="1:4" x14ac:dyDescent="0.35">
      <c r="A277" t="s">
        <v>14</v>
      </c>
      <c r="B277" t="s">
        <v>5</v>
      </c>
      <c r="C277" t="s">
        <v>17</v>
      </c>
      <c r="D277" t="s">
        <v>6</v>
      </c>
    </row>
    <row r="278" spans="1:4" x14ac:dyDescent="0.35">
      <c r="A278" t="s">
        <v>14</v>
      </c>
      <c r="B278" t="s">
        <v>8</v>
      </c>
      <c r="C278" t="s">
        <v>17</v>
      </c>
      <c r="D278" t="s">
        <v>6</v>
      </c>
    </row>
    <row r="279" spans="1:4" x14ac:dyDescent="0.35">
      <c r="A279" t="s">
        <v>14</v>
      </c>
      <c r="B279" t="s">
        <v>8</v>
      </c>
      <c r="C279" t="s">
        <v>17</v>
      </c>
      <c r="D279" t="s">
        <v>7</v>
      </c>
    </row>
    <row r="280" spans="1:4" x14ac:dyDescent="0.35">
      <c r="A280" t="s">
        <v>14</v>
      </c>
      <c r="B280" t="s">
        <v>8</v>
      </c>
      <c r="C280" t="s">
        <v>17</v>
      </c>
      <c r="D280" t="s">
        <v>7</v>
      </c>
    </row>
    <row r="281" spans="1:4" x14ac:dyDescent="0.35">
      <c r="A281" t="s">
        <v>14</v>
      </c>
      <c r="B281" t="s">
        <v>8</v>
      </c>
      <c r="C281" t="s">
        <v>17</v>
      </c>
      <c r="D281" t="s">
        <v>6</v>
      </c>
    </row>
    <row r="282" spans="1:4" x14ac:dyDescent="0.35">
      <c r="A282" t="s">
        <v>14</v>
      </c>
      <c r="B282" t="s">
        <v>8</v>
      </c>
      <c r="C282" t="s">
        <v>17</v>
      </c>
      <c r="D282" t="s">
        <v>6</v>
      </c>
    </row>
    <row r="283" spans="1:4" x14ac:dyDescent="0.35">
      <c r="A283" t="s">
        <v>14</v>
      </c>
      <c r="B283" t="s">
        <v>8</v>
      </c>
      <c r="C283" t="s">
        <v>17</v>
      </c>
      <c r="D283" t="s">
        <v>6</v>
      </c>
    </row>
    <row r="284" spans="1:4" x14ac:dyDescent="0.35">
      <c r="A284" t="s">
        <v>14</v>
      </c>
      <c r="B284" t="s">
        <v>8</v>
      </c>
      <c r="C284" t="s">
        <v>17</v>
      </c>
      <c r="D284" t="s">
        <v>6</v>
      </c>
    </row>
    <row r="285" spans="1:4" x14ac:dyDescent="0.35">
      <c r="A285" t="s">
        <v>14</v>
      </c>
      <c r="B285" t="s">
        <v>8</v>
      </c>
      <c r="C285" t="s">
        <v>17</v>
      </c>
      <c r="D285" t="s">
        <v>6</v>
      </c>
    </row>
    <row r="286" spans="1:4" x14ac:dyDescent="0.35">
      <c r="A286" t="s">
        <v>14</v>
      </c>
      <c r="B286" t="s">
        <v>8</v>
      </c>
      <c r="C286" t="s">
        <v>17</v>
      </c>
      <c r="D286" t="s">
        <v>6</v>
      </c>
    </row>
    <row r="287" spans="1:4" x14ac:dyDescent="0.35">
      <c r="A287" t="s">
        <v>14</v>
      </c>
      <c r="B287" t="s">
        <v>8</v>
      </c>
      <c r="C287" t="s">
        <v>17</v>
      </c>
      <c r="D287" t="s">
        <v>7</v>
      </c>
    </row>
    <row r="288" spans="1:4" x14ac:dyDescent="0.35">
      <c r="A288" t="s">
        <v>14</v>
      </c>
      <c r="B288" t="s">
        <v>8</v>
      </c>
      <c r="C288" t="s">
        <v>17</v>
      </c>
      <c r="D288" t="s">
        <v>6</v>
      </c>
    </row>
    <row r="289" spans="1:4" x14ac:dyDescent="0.35">
      <c r="A289" t="s">
        <v>14</v>
      </c>
      <c r="B289" t="s">
        <v>8</v>
      </c>
      <c r="C289" t="s">
        <v>17</v>
      </c>
      <c r="D289" t="s">
        <v>7</v>
      </c>
    </row>
    <row r="290" spans="1:4" x14ac:dyDescent="0.35">
      <c r="A290" t="s">
        <v>14</v>
      </c>
      <c r="B290" t="s">
        <v>8</v>
      </c>
      <c r="C290" t="s">
        <v>17</v>
      </c>
      <c r="D290" t="s">
        <v>6</v>
      </c>
    </row>
    <row r="291" spans="1:4" x14ac:dyDescent="0.35">
      <c r="A291" t="s">
        <v>14</v>
      </c>
      <c r="B291" t="s">
        <v>8</v>
      </c>
      <c r="C291" t="s">
        <v>17</v>
      </c>
      <c r="D291" t="s">
        <v>6</v>
      </c>
    </row>
    <row r="292" spans="1:4" x14ac:dyDescent="0.35">
      <c r="A292" t="s">
        <v>14</v>
      </c>
      <c r="B292" t="s">
        <v>8</v>
      </c>
      <c r="C292" t="s">
        <v>17</v>
      </c>
      <c r="D292" t="s">
        <v>6</v>
      </c>
    </row>
    <row r="293" spans="1:4" x14ac:dyDescent="0.35">
      <c r="A293" t="s">
        <v>14</v>
      </c>
      <c r="B293" t="s">
        <v>8</v>
      </c>
      <c r="C293" t="s">
        <v>17</v>
      </c>
      <c r="D293" t="s">
        <v>6</v>
      </c>
    </row>
    <row r="294" spans="1:4" x14ac:dyDescent="0.35">
      <c r="A294" t="s">
        <v>14</v>
      </c>
      <c r="B294" t="s">
        <v>9</v>
      </c>
      <c r="C294" t="s">
        <v>17</v>
      </c>
      <c r="D294" t="s">
        <v>7</v>
      </c>
    </row>
    <row r="295" spans="1:4" x14ac:dyDescent="0.35">
      <c r="A295" t="s">
        <v>14</v>
      </c>
      <c r="B295" t="s">
        <v>9</v>
      </c>
      <c r="C295" t="s">
        <v>17</v>
      </c>
      <c r="D295" t="s">
        <v>6</v>
      </c>
    </row>
    <row r="296" spans="1:4" x14ac:dyDescent="0.35">
      <c r="A296" t="s">
        <v>14</v>
      </c>
      <c r="B296" t="s">
        <v>9</v>
      </c>
      <c r="C296" t="s">
        <v>17</v>
      </c>
      <c r="D296" t="s">
        <v>7</v>
      </c>
    </row>
    <row r="297" spans="1:4" x14ac:dyDescent="0.35">
      <c r="A297" t="s">
        <v>14</v>
      </c>
      <c r="B297" t="s">
        <v>9</v>
      </c>
      <c r="C297" t="s">
        <v>17</v>
      </c>
      <c r="D297" t="s">
        <v>7</v>
      </c>
    </row>
    <row r="298" spans="1:4" x14ac:dyDescent="0.35">
      <c r="A298" t="s">
        <v>14</v>
      </c>
      <c r="B298" t="s">
        <v>9</v>
      </c>
      <c r="C298" t="s">
        <v>17</v>
      </c>
      <c r="D298" t="s">
        <v>7</v>
      </c>
    </row>
    <row r="299" spans="1:4" x14ac:dyDescent="0.35">
      <c r="A299" t="s">
        <v>14</v>
      </c>
      <c r="B299" t="s">
        <v>9</v>
      </c>
      <c r="C299" t="s">
        <v>17</v>
      </c>
      <c r="D299" t="s">
        <v>6</v>
      </c>
    </row>
    <row r="300" spans="1:4" x14ac:dyDescent="0.35">
      <c r="A300" t="s">
        <v>14</v>
      </c>
      <c r="B300" t="s">
        <v>9</v>
      </c>
      <c r="C300" t="s">
        <v>17</v>
      </c>
      <c r="D300" t="s">
        <v>7</v>
      </c>
    </row>
    <row r="301" spans="1:4" x14ac:dyDescent="0.35">
      <c r="A301" t="s">
        <v>14</v>
      </c>
      <c r="B301" t="s">
        <v>9</v>
      </c>
      <c r="C301" t="s">
        <v>17</v>
      </c>
      <c r="D301" t="s">
        <v>6</v>
      </c>
    </row>
    <row r="302" spans="1:4" x14ac:dyDescent="0.35">
      <c r="A302" t="s">
        <v>14</v>
      </c>
      <c r="B302" t="s">
        <v>9</v>
      </c>
      <c r="C302" t="s">
        <v>17</v>
      </c>
      <c r="D302" t="s">
        <v>6</v>
      </c>
    </row>
    <row r="303" spans="1:4" x14ac:dyDescent="0.35">
      <c r="A303" t="s">
        <v>14</v>
      </c>
      <c r="B303" t="s">
        <v>9</v>
      </c>
      <c r="C303" t="s">
        <v>17</v>
      </c>
      <c r="D303" t="s">
        <v>6</v>
      </c>
    </row>
    <row r="304" spans="1:4" x14ac:dyDescent="0.35">
      <c r="A304" t="s">
        <v>14</v>
      </c>
      <c r="B304" t="s">
        <v>9</v>
      </c>
      <c r="C304" t="s">
        <v>17</v>
      </c>
      <c r="D304" t="s">
        <v>7</v>
      </c>
    </row>
    <row r="305" spans="1:4" x14ac:dyDescent="0.35">
      <c r="A305" t="s">
        <v>14</v>
      </c>
      <c r="B305" t="s">
        <v>9</v>
      </c>
      <c r="C305" t="s">
        <v>17</v>
      </c>
      <c r="D305" t="s">
        <v>6</v>
      </c>
    </row>
    <row r="306" spans="1:4" x14ac:dyDescent="0.35">
      <c r="A306" t="s">
        <v>14</v>
      </c>
      <c r="B306" t="s">
        <v>9</v>
      </c>
      <c r="C306" t="s">
        <v>17</v>
      </c>
      <c r="D306" t="s">
        <v>6</v>
      </c>
    </row>
    <row r="307" spans="1:4" x14ac:dyDescent="0.35">
      <c r="A307" t="s">
        <v>14</v>
      </c>
      <c r="B307" t="s">
        <v>9</v>
      </c>
      <c r="C307" t="s">
        <v>17</v>
      </c>
      <c r="D307" t="s">
        <v>6</v>
      </c>
    </row>
    <row r="308" spans="1:4" x14ac:dyDescent="0.35">
      <c r="A308" t="s">
        <v>14</v>
      </c>
      <c r="B308" t="s">
        <v>9</v>
      </c>
      <c r="C308" t="s">
        <v>17</v>
      </c>
      <c r="D308" t="s">
        <v>7</v>
      </c>
    </row>
    <row r="309" spans="1:4" x14ac:dyDescent="0.35">
      <c r="A309" t="s">
        <v>14</v>
      </c>
      <c r="B309" t="s">
        <v>9</v>
      </c>
      <c r="C309" t="s">
        <v>17</v>
      </c>
      <c r="D309" t="s">
        <v>6</v>
      </c>
    </row>
    <row r="310" spans="1:4" x14ac:dyDescent="0.35">
      <c r="A310" t="s">
        <v>14</v>
      </c>
      <c r="B310" t="s">
        <v>9</v>
      </c>
      <c r="C310" t="s">
        <v>17</v>
      </c>
      <c r="D310" t="s">
        <v>6</v>
      </c>
    </row>
    <row r="311" spans="1:4" x14ac:dyDescent="0.35">
      <c r="A311" t="s">
        <v>14</v>
      </c>
      <c r="B311" t="s">
        <v>9</v>
      </c>
      <c r="C311" t="s">
        <v>17</v>
      </c>
      <c r="D311" t="s">
        <v>6</v>
      </c>
    </row>
    <row r="312" spans="1:4" x14ac:dyDescent="0.35">
      <c r="A312" t="s">
        <v>14</v>
      </c>
      <c r="B312" t="s">
        <v>9</v>
      </c>
      <c r="C312" t="s">
        <v>17</v>
      </c>
      <c r="D312" t="s">
        <v>6</v>
      </c>
    </row>
    <row r="313" spans="1:4" x14ac:dyDescent="0.35">
      <c r="A313" t="s">
        <v>14</v>
      </c>
      <c r="B313" t="s">
        <v>9</v>
      </c>
      <c r="C313" t="s">
        <v>17</v>
      </c>
      <c r="D313" t="s">
        <v>7</v>
      </c>
    </row>
    <row r="314" spans="1:4" x14ac:dyDescent="0.35">
      <c r="A314" t="s">
        <v>14</v>
      </c>
      <c r="B314" t="s">
        <v>9</v>
      </c>
      <c r="C314" t="s">
        <v>17</v>
      </c>
      <c r="D314" t="s">
        <v>7</v>
      </c>
    </row>
    <row r="315" spans="1:4" x14ac:dyDescent="0.35">
      <c r="A315" t="s">
        <v>14</v>
      </c>
      <c r="B315" t="s">
        <v>9</v>
      </c>
      <c r="C315" t="s">
        <v>17</v>
      </c>
      <c r="D315" t="s">
        <v>6</v>
      </c>
    </row>
    <row r="316" spans="1:4" x14ac:dyDescent="0.35">
      <c r="A316" t="s">
        <v>14</v>
      </c>
      <c r="B316" t="s">
        <v>9</v>
      </c>
      <c r="C316" t="s">
        <v>17</v>
      </c>
      <c r="D316" t="s">
        <v>6</v>
      </c>
    </row>
    <row r="317" spans="1:4" x14ac:dyDescent="0.35">
      <c r="A317" t="s">
        <v>14</v>
      </c>
      <c r="B317" t="s">
        <v>9</v>
      </c>
      <c r="C317" t="s">
        <v>17</v>
      </c>
      <c r="D317" t="s">
        <v>6</v>
      </c>
    </row>
    <row r="318" spans="1:4" x14ac:dyDescent="0.35">
      <c r="A318" t="s">
        <v>14</v>
      </c>
      <c r="B318" t="s">
        <v>9</v>
      </c>
      <c r="C318" t="s">
        <v>17</v>
      </c>
      <c r="D318" t="s">
        <v>6</v>
      </c>
    </row>
    <row r="319" spans="1:4" x14ac:dyDescent="0.35">
      <c r="A319" t="s">
        <v>15</v>
      </c>
      <c r="B319" t="s">
        <v>5</v>
      </c>
      <c r="C319" t="s">
        <v>17</v>
      </c>
      <c r="D319" t="s">
        <v>6</v>
      </c>
    </row>
    <row r="320" spans="1:4" x14ac:dyDescent="0.35">
      <c r="A320" t="s">
        <v>15</v>
      </c>
      <c r="B320" t="s">
        <v>5</v>
      </c>
      <c r="C320" t="s">
        <v>17</v>
      </c>
      <c r="D320" t="s">
        <v>6</v>
      </c>
    </row>
    <row r="321" spans="1:4" x14ac:dyDescent="0.35">
      <c r="A321" t="s">
        <v>15</v>
      </c>
      <c r="B321" t="s">
        <v>5</v>
      </c>
      <c r="C321" t="s">
        <v>17</v>
      </c>
      <c r="D321" t="s">
        <v>6</v>
      </c>
    </row>
    <row r="322" spans="1:4" x14ac:dyDescent="0.35">
      <c r="A322" t="s">
        <v>15</v>
      </c>
      <c r="B322" t="s">
        <v>5</v>
      </c>
      <c r="C322" t="s">
        <v>17</v>
      </c>
      <c r="D322" t="s">
        <v>6</v>
      </c>
    </row>
    <row r="323" spans="1:4" x14ac:dyDescent="0.35">
      <c r="A323" t="s">
        <v>15</v>
      </c>
      <c r="B323" t="s">
        <v>5</v>
      </c>
      <c r="C323" t="s">
        <v>17</v>
      </c>
      <c r="D323" t="s">
        <v>6</v>
      </c>
    </row>
    <row r="324" spans="1:4" x14ac:dyDescent="0.35">
      <c r="A324" t="s">
        <v>15</v>
      </c>
      <c r="B324" t="s">
        <v>5</v>
      </c>
      <c r="C324" t="s">
        <v>17</v>
      </c>
      <c r="D324" t="s">
        <v>6</v>
      </c>
    </row>
    <row r="325" spans="1:4" x14ac:dyDescent="0.35">
      <c r="A325" t="s">
        <v>15</v>
      </c>
      <c r="B325" t="s">
        <v>5</v>
      </c>
      <c r="C325" t="s">
        <v>17</v>
      </c>
      <c r="D325" t="s">
        <v>7</v>
      </c>
    </row>
    <row r="326" spans="1:4" x14ac:dyDescent="0.35">
      <c r="A326" t="s">
        <v>15</v>
      </c>
      <c r="B326" t="s">
        <v>5</v>
      </c>
      <c r="C326" t="s">
        <v>17</v>
      </c>
      <c r="D326" t="s">
        <v>6</v>
      </c>
    </row>
    <row r="327" spans="1:4" x14ac:dyDescent="0.35">
      <c r="A327" t="s">
        <v>15</v>
      </c>
      <c r="B327" t="s">
        <v>5</v>
      </c>
      <c r="C327" t="s">
        <v>17</v>
      </c>
      <c r="D327" t="s">
        <v>6</v>
      </c>
    </row>
    <row r="328" spans="1:4" x14ac:dyDescent="0.35">
      <c r="A328" t="s">
        <v>15</v>
      </c>
      <c r="B328" t="s">
        <v>5</v>
      </c>
      <c r="C328" t="s">
        <v>17</v>
      </c>
      <c r="D328" t="s">
        <v>6</v>
      </c>
    </row>
    <row r="329" spans="1:4" x14ac:dyDescent="0.35">
      <c r="A329" t="s">
        <v>15</v>
      </c>
      <c r="B329" t="s">
        <v>5</v>
      </c>
      <c r="C329" t="s">
        <v>17</v>
      </c>
      <c r="D329" t="s">
        <v>7</v>
      </c>
    </row>
    <row r="330" spans="1:4" x14ac:dyDescent="0.35">
      <c r="A330" t="s">
        <v>15</v>
      </c>
      <c r="B330" t="s">
        <v>5</v>
      </c>
      <c r="C330" t="s">
        <v>17</v>
      </c>
      <c r="D330" t="s">
        <v>7</v>
      </c>
    </row>
    <row r="331" spans="1:4" x14ac:dyDescent="0.35">
      <c r="A331" t="s">
        <v>15</v>
      </c>
      <c r="B331" t="s">
        <v>5</v>
      </c>
      <c r="C331" t="s">
        <v>17</v>
      </c>
      <c r="D331" t="s">
        <v>7</v>
      </c>
    </row>
    <row r="332" spans="1:4" x14ac:dyDescent="0.35">
      <c r="A332" t="s">
        <v>15</v>
      </c>
      <c r="B332" t="s">
        <v>5</v>
      </c>
      <c r="C332" t="s">
        <v>17</v>
      </c>
      <c r="D332" t="s">
        <v>6</v>
      </c>
    </row>
    <row r="333" spans="1:4" x14ac:dyDescent="0.35">
      <c r="A333" t="s">
        <v>15</v>
      </c>
      <c r="B333" t="s">
        <v>5</v>
      </c>
      <c r="C333" t="s">
        <v>17</v>
      </c>
      <c r="D333" t="s">
        <v>6</v>
      </c>
    </row>
    <row r="334" spans="1:4" x14ac:dyDescent="0.35">
      <c r="A334" t="s">
        <v>15</v>
      </c>
      <c r="B334" t="s">
        <v>5</v>
      </c>
      <c r="C334" t="s">
        <v>17</v>
      </c>
      <c r="D334" t="s">
        <v>7</v>
      </c>
    </row>
    <row r="335" spans="1:4" x14ac:dyDescent="0.35">
      <c r="A335" t="s">
        <v>15</v>
      </c>
      <c r="B335" t="s">
        <v>5</v>
      </c>
      <c r="C335" t="s">
        <v>17</v>
      </c>
      <c r="D335" t="s">
        <v>6</v>
      </c>
    </row>
    <row r="336" spans="1:4" x14ac:dyDescent="0.35">
      <c r="A336" t="s">
        <v>15</v>
      </c>
      <c r="B336" t="s">
        <v>5</v>
      </c>
      <c r="C336" t="s">
        <v>17</v>
      </c>
      <c r="D336" t="s">
        <v>6</v>
      </c>
    </row>
    <row r="337" spans="1:4" x14ac:dyDescent="0.35">
      <c r="A337" t="s">
        <v>15</v>
      </c>
      <c r="B337" t="s">
        <v>5</v>
      </c>
      <c r="C337" t="s">
        <v>17</v>
      </c>
      <c r="D337" t="s">
        <v>6</v>
      </c>
    </row>
    <row r="338" spans="1:4" x14ac:dyDescent="0.35">
      <c r="A338" t="s">
        <v>15</v>
      </c>
      <c r="B338" t="s">
        <v>5</v>
      </c>
      <c r="C338" t="s">
        <v>17</v>
      </c>
      <c r="D338" t="s">
        <v>7</v>
      </c>
    </row>
    <row r="339" spans="1:4" x14ac:dyDescent="0.35">
      <c r="A339" t="s">
        <v>15</v>
      </c>
      <c r="B339" t="s">
        <v>5</v>
      </c>
      <c r="C339" t="s">
        <v>17</v>
      </c>
      <c r="D339" t="s">
        <v>6</v>
      </c>
    </row>
    <row r="340" spans="1:4" x14ac:dyDescent="0.35">
      <c r="A340" t="s">
        <v>15</v>
      </c>
      <c r="B340" t="s">
        <v>5</v>
      </c>
      <c r="C340" t="s">
        <v>17</v>
      </c>
      <c r="D340" t="s">
        <v>6</v>
      </c>
    </row>
    <row r="341" spans="1:4" x14ac:dyDescent="0.35">
      <c r="A341" t="s">
        <v>15</v>
      </c>
      <c r="B341" t="s">
        <v>8</v>
      </c>
      <c r="C341" t="s">
        <v>17</v>
      </c>
      <c r="D341" t="s">
        <v>6</v>
      </c>
    </row>
    <row r="342" spans="1:4" x14ac:dyDescent="0.35">
      <c r="A342" t="s">
        <v>15</v>
      </c>
      <c r="B342" t="s">
        <v>8</v>
      </c>
      <c r="C342" t="s">
        <v>17</v>
      </c>
      <c r="D342" t="s">
        <v>7</v>
      </c>
    </row>
    <row r="343" spans="1:4" x14ac:dyDescent="0.35">
      <c r="A343" t="s">
        <v>15</v>
      </c>
      <c r="B343" t="s">
        <v>8</v>
      </c>
      <c r="C343" t="s">
        <v>17</v>
      </c>
      <c r="D343" t="s">
        <v>6</v>
      </c>
    </row>
    <row r="344" spans="1:4" x14ac:dyDescent="0.35">
      <c r="A344" t="s">
        <v>15</v>
      </c>
      <c r="B344" t="s">
        <v>8</v>
      </c>
      <c r="C344" t="s">
        <v>17</v>
      </c>
      <c r="D344" t="s">
        <v>6</v>
      </c>
    </row>
    <row r="345" spans="1:4" x14ac:dyDescent="0.35">
      <c r="A345" t="s">
        <v>15</v>
      </c>
      <c r="B345" t="s">
        <v>8</v>
      </c>
      <c r="C345" t="s">
        <v>17</v>
      </c>
      <c r="D345" t="s">
        <v>6</v>
      </c>
    </row>
    <row r="346" spans="1:4" x14ac:dyDescent="0.35">
      <c r="A346" t="s">
        <v>15</v>
      </c>
      <c r="B346" t="s">
        <v>8</v>
      </c>
      <c r="C346" t="s">
        <v>17</v>
      </c>
      <c r="D346" t="s">
        <v>6</v>
      </c>
    </row>
    <row r="347" spans="1:4" x14ac:dyDescent="0.35">
      <c r="A347" t="s">
        <v>15</v>
      </c>
      <c r="B347" t="s">
        <v>8</v>
      </c>
      <c r="C347" t="s">
        <v>17</v>
      </c>
      <c r="D347" t="s">
        <v>6</v>
      </c>
    </row>
    <row r="348" spans="1:4" x14ac:dyDescent="0.35">
      <c r="A348" t="s">
        <v>15</v>
      </c>
      <c r="B348" t="s">
        <v>8</v>
      </c>
      <c r="C348" t="s">
        <v>17</v>
      </c>
      <c r="D348" t="s">
        <v>6</v>
      </c>
    </row>
    <row r="349" spans="1:4" x14ac:dyDescent="0.35">
      <c r="A349" t="s">
        <v>15</v>
      </c>
      <c r="B349" t="s">
        <v>8</v>
      </c>
      <c r="C349" t="s">
        <v>17</v>
      </c>
      <c r="D349" t="s">
        <v>6</v>
      </c>
    </row>
    <row r="350" spans="1:4" x14ac:dyDescent="0.35">
      <c r="A350" t="s">
        <v>15</v>
      </c>
      <c r="B350" t="s">
        <v>8</v>
      </c>
      <c r="C350" t="s">
        <v>17</v>
      </c>
      <c r="D350" t="s">
        <v>6</v>
      </c>
    </row>
    <row r="351" spans="1:4" x14ac:dyDescent="0.35">
      <c r="A351" t="s">
        <v>15</v>
      </c>
      <c r="B351" t="s">
        <v>8</v>
      </c>
      <c r="C351" t="s">
        <v>17</v>
      </c>
      <c r="D351" t="s">
        <v>7</v>
      </c>
    </row>
    <row r="352" spans="1:4" x14ac:dyDescent="0.35">
      <c r="A352" t="s">
        <v>15</v>
      </c>
      <c r="B352" t="s">
        <v>8</v>
      </c>
      <c r="C352" t="s">
        <v>17</v>
      </c>
      <c r="D352" t="s">
        <v>6</v>
      </c>
    </row>
    <row r="353" spans="1:4" x14ac:dyDescent="0.35">
      <c r="A353" t="s">
        <v>15</v>
      </c>
      <c r="B353" t="s">
        <v>8</v>
      </c>
      <c r="C353" t="s">
        <v>17</v>
      </c>
      <c r="D353" t="s">
        <v>7</v>
      </c>
    </row>
    <row r="354" spans="1:4" x14ac:dyDescent="0.35">
      <c r="A354" t="s">
        <v>15</v>
      </c>
      <c r="B354" t="s">
        <v>8</v>
      </c>
      <c r="C354" t="s">
        <v>17</v>
      </c>
      <c r="D354" t="s">
        <v>7</v>
      </c>
    </row>
    <row r="355" spans="1:4" x14ac:dyDescent="0.35">
      <c r="A355" t="s">
        <v>15</v>
      </c>
      <c r="B355" t="s">
        <v>8</v>
      </c>
      <c r="C355" t="s">
        <v>17</v>
      </c>
      <c r="D355" t="s">
        <v>7</v>
      </c>
    </row>
    <row r="356" spans="1:4" x14ac:dyDescent="0.35">
      <c r="A356" t="s">
        <v>15</v>
      </c>
      <c r="B356" t="s">
        <v>8</v>
      </c>
      <c r="C356" t="s">
        <v>17</v>
      </c>
      <c r="D356" t="s">
        <v>6</v>
      </c>
    </row>
    <row r="357" spans="1:4" x14ac:dyDescent="0.35">
      <c r="A357" t="s">
        <v>15</v>
      </c>
      <c r="B357" t="s">
        <v>8</v>
      </c>
      <c r="C357" t="s">
        <v>17</v>
      </c>
      <c r="D357" t="s">
        <v>6</v>
      </c>
    </row>
    <row r="358" spans="1:4" x14ac:dyDescent="0.35">
      <c r="A358" t="s">
        <v>15</v>
      </c>
      <c r="B358" t="s">
        <v>9</v>
      </c>
      <c r="C358" t="s">
        <v>17</v>
      </c>
      <c r="D358" t="s">
        <v>7</v>
      </c>
    </row>
    <row r="359" spans="1:4" x14ac:dyDescent="0.35">
      <c r="A359" t="s">
        <v>15</v>
      </c>
      <c r="B359" t="s">
        <v>9</v>
      </c>
      <c r="C359" t="s">
        <v>17</v>
      </c>
      <c r="D359" t="s">
        <v>6</v>
      </c>
    </row>
    <row r="360" spans="1:4" x14ac:dyDescent="0.35">
      <c r="A360" t="s">
        <v>15</v>
      </c>
      <c r="B360" t="s">
        <v>9</v>
      </c>
      <c r="C360" t="s">
        <v>17</v>
      </c>
      <c r="D360" t="s">
        <v>6</v>
      </c>
    </row>
    <row r="361" spans="1:4" x14ac:dyDescent="0.35">
      <c r="A361" t="s">
        <v>15</v>
      </c>
      <c r="B361" t="s">
        <v>9</v>
      </c>
      <c r="C361" t="s">
        <v>17</v>
      </c>
      <c r="D361" t="s">
        <v>7</v>
      </c>
    </row>
    <row r="362" spans="1:4" x14ac:dyDescent="0.35">
      <c r="A362" t="s">
        <v>15</v>
      </c>
      <c r="B362" t="s">
        <v>9</v>
      </c>
      <c r="C362" t="s">
        <v>17</v>
      </c>
      <c r="D362" t="s">
        <v>6</v>
      </c>
    </row>
    <row r="363" spans="1:4" x14ac:dyDescent="0.35">
      <c r="A363" t="s">
        <v>15</v>
      </c>
      <c r="B363" t="s">
        <v>9</v>
      </c>
      <c r="C363" t="s">
        <v>17</v>
      </c>
      <c r="D363" t="s">
        <v>7</v>
      </c>
    </row>
    <row r="364" spans="1:4" x14ac:dyDescent="0.35">
      <c r="A364" t="s">
        <v>15</v>
      </c>
      <c r="B364" t="s">
        <v>9</v>
      </c>
      <c r="C364" t="s">
        <v>17</v>
      </c>
      <c r="D364" t="s">
        <v>7</v>
      </c>
    </row>
    <row r="365" spans="1:4" x14ac:dyDescent="0.35">
      <c r="A365" t="s">
        <v>15</v>
      </c>
      <c r="B365" t="s">
        <v>9</v>
      </c>
      <c r="C365" t="s">
        <v>17</v>
      </c>
      <c r="D365" t="s">
        <v>6</v>
      </c>
    </row>
    <row r="366" spans="1:4" x14ac:dyDescent="0.35">
      <c r="A366" t="s">
        <v>15</v>
      </c>
      <c r="B366" t="s">
        <v>9</v>
      </c>
      <c r="C366" t="s">
        <v>17</v>
      </c>
      <c r="D366" t="s">
        <v>6</v>
      </c>
    </row>
    <row r="367" spans="1:4" x14ac:dyDescent="0.35">
      <c r="A367" t="s">
        <v>15</v>
      </c>
      <c r="B367" t="s">
        <v>9</v>
      </c>
      <c r="C367" t="s">
        <v>17</v>
      </c>
      <c r="D367" t="s">
        <v>6</v>
      </c>
    </row>
    <row r="368" spans="1:4" x14ac:dyDescent="0.35">
      <c r="A368" t="s">
        <v>15</v>
      </c>
      <c r="B368" t="s">
        <v>9</v>
      </c>
      <c r="C368" t="s">
        <v>17</v>
      </c>
      <c r="D368" t="s">
        <v>7</v>
      </c>
    </row>
    <row r="369" spans="1:4" x14ac:dyDescent="0.35">
      <c r="A369" t="s">
        <v>15</v>
      </c>
      <c r="B369" t="s">
        <v>9</v>
      </c>
      <c r="C369" t="s">
        <v>17</v>
      </c>
      <c r="D369" t="s">
        <v>6</v>
      </c>
    </row>
    <row r="370" spans="1:4" x14ac:dyDescent="0.35">
      <c r="A370" t="s">
        <v>15</v>
      </c>
      <c r="B370" t="s">
        <v>9</v>
      </c>
      <c r="C370" t="s">
        <v>17</v>
      </c>
      <c r="D370" t="s">
        <v>6</v>
      </c>
    </row>
    <row r="371" spans="1:4" x14ac:dyDescent="0.35">
      <c r="A371" t="s">
        <v>15</v>
      </c>
      <c r="B371" t="s">
        <v>9</v>
      </c>
      <c r="C371" t="s">
        <v>17</v>
      </c>
      <c r="D371" t="s">
        <v>7</v>
      </c>
    </row>
    <row r="372" spans="1:4" x14ac:dyDescent="0.35">
      <c r="A372" t="s">
        <v>15</v>
      </c>
      <c r="B372" t="s">
        <v>9</v>
      </c>
      <c r="C372" t="s">
        <v>17</v>
      </c>
      <c r="D372" t="s">
        <v>7</v>
      </c>
    </row>
    <row r="373" spans="1:4" x14ac:dyDescent="0.35">
      <c r="A373" t="s">
        <v>15</v>
      </c>
      <c r="B373" t="s">
        <v>9</v>
      </c>
      <c r="C373" t="s">
        <v>17</v>
      </c>
      <c r="D373" t="s">
        <v>7</v>
      </c>
    </row>
    <row r="374" spans="1:4" x14ac:dyDescent="0.35">
      <c r="A374" t="s">
        <v>15</v>
      </c>
      <c r="B374" t="s">
        <v>9</v>
      </c>
      <c r="C374" t="s">
        <v>17</v>
      </c>
      <c r="D374" t="s">
        <v>6</v>
      </c>
    </row>
    <row r="375" spans="1:4" x14ac:dyDescent="0.35">
      <c r="A375" t="s">
        <v>16</v>
      </c>
      <c r="B375" t="s">
        <v>5</v>
      </c>
      <c r="C375" t="s">
        <v>17</v>
      </c>
      <c r="D375" t="s">
        <v>6</v>
      </c>
    </row>
    <row r="376" spans="1:4" x14ac:dyDescent="0.35">
      <c r="A376" t="s">
        <v>16</v>
      </c>
      <c r="B376" t="s">
        <v>5</v>
      </c>
      <c r="C376" t="s">
        <v>17</v>
      </c>
      <c r="D376" t="s">
        <v>7</v>
      </c>
    </row>
    <row r="377" spans="1:4" x14ac:dyDescent="0.35">
      <c r="A377" t="s">
        <v>16</v>
      </c>
      <c r="B377" t="s">
        <v>5</v>
      </c>
      <c r="C377" t="s">
        <v>17</v>
      </c>
      <c r="D377" t="s">
        <v>6</v>
      </c>
    </row>
    <row r="378" spans="1:4" x14ac:dyDescent="0.35">
      <c r="A378" t="s">
        <v>16</v>
      </c>
      <c r="B378" t="s">
        <v>5</v>
      </c>
      <c r="C378" t="s">
        <v>17</v>
      </c>
      <c r="D378" t="s">
        <v>7</v>
      </c>
    </row>
    <row r="379" spans="1:4" x14ac:dyDescent="0.35">
      <c r="A379" t="s">
        <v>16</v>
      </c>
      <c r="B379" t="s">
        <v>5</v>
      </c>
      <c r="C379" t="s">
        <v>17</v>
      </c>
      <c r="D379" t="s">
        <v>6</v>
      </c>
    </row>
    <row r="380" spans="1:4" x14ac:dyDescent="0.35">
      <c r="A380" t="s">
        <v>16</v>
      </c>
      <c r="B380" t="s">
        <v>5</v>
      </c>
      <c r="C380" t="s">
        <v>17</v>
      </c>
      <c r="D380" t="s">
        <v>6</v>
      </c>
    </row>
    <row r="381" spans="1:4" x14ac:dyDescent="0.35">
      <c r="A381" t="s">
        <v>16</v>
      </c>
      <c r="B381" t="s">
        <v>5</v>
      </c>
      <c r="C381" t="s">
        <v>17</v>
      </c>
      <c r="D381" t="s">
        <v>6</v>
      </c>
    </row>
    <row r="382" spans="1:4" x14ac:dyDescent="0.35">
      <c r="A382" t="s">
        <v>16</v>
      </c>
      <c r="B382" t="s">
        <v>5</v>
      </c>
      <c r="C382" t="s">
        <v>17</v>
      </c>
      <c r="D382" t="s">
        <v>6</v>
      </c>
    </row>
    <row r="383" spans="1:4" x14ac:dyDescent="0.35">
      <c r="A383" t="s">
        <v>16</v>
      </c>
      <c r="B383" t="s">
        <v>5</v>
      </c>
      <c r="C383" t="s">
        <v>17</v>
      </c>
      <c r="D383" t="s">
        <v>6</v>
      </c>
    </row>
    <row r="384" spans="1:4" x14ac:dyDescent="0.35">
      <c r="A384" t="s">
        <v>16</v>
      </c>
      <c r="B384" t="s">
        <v>5</v>
      </c>
      <c r="C384" t="s">
        <v>17</v>
      </c>
      <c r="D384" t="s">
        <v>6</v>
      </c>
    </row>
    <row r="385" spans="1:4" x14ac:dyDescent="0.35">
      <c r="A385" t="s">
        <v>16</v>
      </c>
      <c r="B385" t="s">
        <v>5</v>
      </c>
      <c r="C385" t="s">
        <v>17</v>
      </c>
      <c r="D385" t="s">
        <v>7</v>
      </c>
    </row>
    <row r="386" spans="1:4" x14ac:dyDescent="0.35">
      <c r="A386" t="s">
        <v>16</v>
      </c>
      <c r="B386" t="s">
        <v>5</v>
      </c>
      <c r="C386" t="s">
        <v>17</v>
      </c>
      <c r="D386" t="s">
        <v>7</v>
      </c>
    </row>
    <row r="387" spans="1:4" x14ac:dyDescent="0.35">
      <c r="A387" t="s">
        <v>16</v>
      </c>
      <c r="B387" t="s">
        <v>5</v>
      </c>
      <c r="C387" t="s">
        <v>17</v>
      </c>
      <c r="D387" t="s">
        <v>7</v>
      </c>
    </row>
    <row r="388" spans="1:4" x14ac:dyDescent="0.35">
      <c r="A388" t="s">
        <v>16</v>
      </c>
      <c r="B388" t="s">
        <v>8</v>
      </c>
      <c r="C388" t="s">
        <v>17</v>
      </c>
      <c r="D388" t="s">
        <v>6</v>
      </c>
    </row>
    <row r="389" spans="1:4" x14ac:dyDescent="0.35">
      <c r="A389" t="s">
        <v>16</v>
      </c>
      <c r="B389" t="s">
        <v>8</v>
      </c>
      <c r="C389" t="s">
        <v>17</v>
      </c>
      <c r="D389" t="s">
        <v>6</v>
      </c>
    </row>
    <row r="390" spans="1:4" x14ac:dyDescent="0.35">
      <c r="A390" t="s">
        <v>16</v>
      </c>
      <c r="B390" t="s">
        <v>8</v>
      </c>
      <c r="C390" t="s">
        <v>17</v>
      </c>
      <c r="D390" t="s">
        <v>7</v>
      </c>
    </row>
    <row r="391" spans="1:4" x14ac:dyDescent="0.35">
      <c r="A391" t="s">
        <v>16</v>
      </c>
      <c r="B391" t="s">
        <v>8</v>
      </c>
      <c r="C391" t="s">
        <v>17</v>
      </c>
      <c r="D391" t="s">
        <v>7</v>
      </c>
    </row>
    <row r="392" spans="1:4" x14ac:dyDescent="0.35">
      <c r="A392" t="s">
        <v>16</v>
      </c>
      <c r="B392" t="s">
        <v>8</v>
      </c>
      <c r="C392" t="s">
        <v>17</v>
      </c>
      <c r="D392" t="s">
        <v>7</v>
      </c>
    </row>
    <row r="393" spans="1:4" x14ac:dyDescent="0.35">
      <c r="A393" t="s">
        <v>16</v>
      </c>
      <c r="B393" t="s">
        <v>8</v>
      </c>
      <c r="C393" t="s">
        <v>17</v>
      </c>
      <c r="D393" t="s">
        <v>7</v>
      </c>
    </row>
    <row r="394" spans="1:4" x14ac:dyDescent="0.35">
      <c r="A394" t="s">
        <v>16</v>
      </c>
      <c r="B394" t="s">
        <v>8</v>
      </c>
      <c r="C394" t="s">
        <v>17</v>
      </c>
      <c r="D394" t="s">
        <v>7</v>
      </c>
    </row>
    <row r="395" spans="1:4" x14ac:dyDescent="0.35">
      <c r="A395" t="s">
        <v>16</v>
      </c>
      <c r="B395" t="s">
        <v>8</v>
      </c>
      <c r="C395" t="s">
        <v>17</v>
      </c>
      <c r="D395" t="s">
        <v>7</v>
      </c>
    </row>
    <row r="396" spans="1:4" x14ac:dyDescent="0.35">
      <c r="A396" t="s">
        <v>16</v>
      </c>
      <c r="B396" t="s">
        <v>8</v>
      </c>
      <c r="C396" t="s">
        <v>17</v>
      </c>
      <c r="D396" t="s">
        <v>7</v>
      </c>
    </row>
    <row r="397" spans="1:4" x14ac:dyDescent="0.35">
      <c r="A397" t="s">
        <v>16</v>
      </c>
      <c r="B397" t="s">
        <v>8</v>
      </c>
      <c r="C397" t="s">
        <v>17</v>
      </c>
      <c r="D397" t="s">
        <v>7</v>
      </c>
    </row>
    <row r="398" spans="1:4" x14ac:dyDescent="0.35">
      <c r="A398" t="s">
        <v>16</v>
      </c>
      <c r="B398" t="s">
        <v>8</v>
      </c>
      <c r="C398" t="s">
        <v>17</v>
      </c>
      <c r="D398" t="s">
        <v>6</v>
      </c>
    </row>
    <row r="399" spans="1:4" x14ac:dyDescent="0.35">
      <c r="A399" t="s">
        <v>16</v>
      </c>
      <c r="B399" t="s">
        <v>8</v>
      </c>
      <c r="C399" t="s">
        <v>17</v>
      </c>
      <c r="D399" t="s">
        <v>7</v>
      </c>
    </row>
    <row r="400" spans="1:4" x14ac:dyDescent="0.35">
      <c r="A400" t="s">
        <v>16</v>
      </c>
      <c r="B400" t="s">
        <v>8</v>
      </c>
      <c r="C400" t="s">
        <v>17</v>
      </c>
      <c r="D400" t="s">
        <v>6</v>
      </c>
    </row>
    <row r="401" spans="1:4" x14ac:dyDescent="0.35">
      <c r="A401" t="s">
        <v>16</v>
      </c>
      <c r="B401" t="s">
        <v>8</v>
      </c>
      <c r="C401" t="s">
        <v>17</v>
      </c>
      <c r="D401" t="s">
        <v>7</v>
      </c>
    </row>
    <row r="402" spans="1:4" x14ac:dyDescent="0.35">
      <c r="A402" t="s">
        <v>16</v>
      </c>
      <c r="B402" t="s">
        <v>8</v>
      </c>
      <c r="C402" t="s">
        <v>17</v>
      </c>
      <c r="D402" t="s">
        <v>7</v>
      </c>
    </row>
    <row r="403" spans="1:4" x14ac:dyDescent="0.35">
      <c r="A403" t="s">
        <v>16</v>
      </c>
      <c r="B403" t="s">
        <v>9</v>
      </c>
      <c r="C403" t="s">
        <v>17</v>
      </c>
      <c r="D403" t="s">
        <v>6</v>
      </c>
    </row>
    <row r="404" spans="1:4" x14ac:dyDescent="0.35">
      <c r="A404" t="s">
        <v>16</v>
      </c>
      <c r="B404" t="s">
        <v>9</v>
      </c>
      <c r="C404" t="s">
        <v>17</v>
      </c>
      <c r="D404" t="s">
        <v>6</v>
      </c>
    </row>
    <row r="405" spans="1:4" x14ac:dyDescent="0.35">
      <c r="A405" t="s">
        <v>16</v>
      </c>
      <c r="B405" t="s">
        <v>9</v>
      </c>
      <c r="C405" t="s">
        <v>17</v>
      </c>
      <c r="D405" t="s">
        <v>7</v>
      </c>
    </row>
    <row r="406" spans="1:4" x14ac:dyDescent="0.35">
      <c r="A406" t="s">
        <v>16</v>
      </c>
      <c r="B406" t="s">
        <v>9</v>
      </c>
      <c r="C406" t="s">
        <v>17</v>
      </c>
      <c r="D406" t="s">
        <v>7</v>
      </c>
    </row>
    <row r="407" spans="1:4" x14ac:dyDescent="0.35">
      <c r="A407" t="s">
        <v>16</v>
      </c>
      <c r="B407" t="s">
        <v>9</v>
      </c>
      <c r="C407" t="s">
        <v>17</v>
      </c>
      <c r="D407" t="s">
        <v>6</v>
      </c>
    </row>
    <row r="408" spans="1:4" x14ac:dyDescent="0.35">
      <c r="A408" t="s">
        <v>16</v>
      </c>
      <c r="B408" t="s">
        <v>9</v>
      </c>
      <c r="C408" t="s">
        <v>17</v>
      </c>
      <c r="D408" t="s">
        <v>7</v>
      </c>
    </row>
    <row r="409" spans="1:4" x14ac:dyDescent="0.35">
      <c r="A409" t="s">
        <v>16</v>
      </c>
      <c r="B409" t="s">
        <v>9</v>
      </c>
      <c r="C409" t="s">
        <v>17</v>
      </c>
      <c r="D409" t="s">
        <v>7</v>
      </c>
    </row>
    <row r="410" spans="1:4" x14ac:dyDescent="0.35">
      <c r="A410" t="s">
        <v>16</v>
      </c>
      <c r="B410" t="s">
        <v>9</v>
      </c>
      <c r="C410" t="s">
        <v>17</v>
      </c>
      <c r="D410" t="s">
        <v>7</v>
      </c>
    </row>
    <row r="411" spans="1:4" x14ac:dyDescent="0.35">
      <c r="A411" t="s">
        <v>16</v>
      </c>
      <c r="B411" t="s">
        <v>9</v>
      </c>
      <c r="C411" t="s">
        <v>17</v>
      </c>
      <c r="D411" t="s">
        <v>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Dashboard</vt:lpstr>
      <vt:lpstr>Sheet4</vt:lpstr>
      <vt:lpstr>Rekap + Chart</vt:lpstr>
      <vt:lpstr>Data</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rumaisya milhan</dc:creator>
  <cp:lastModifiedBy>rumaisya milhan</cp:lastModifiedBy>
  <dcterms:created xsi:type="dcterms:W3CDTF">2026-07-27T10:41:10Z</dcterms:created>
  <dcterms:modified xsi:type="dcterms:W3CDTF">2026-08-10T13:39:18Z</dcterms:modified>
</cp:coreProperties>
</file>